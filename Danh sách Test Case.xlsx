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 sách Test Case" sheetId="1" r:id="rId5"/>
    <sheet state="visible" name="Danh sách lỗi " sheetId="2" r:id="rId6"/>
    <sheet state="visible" name="Tổng hợp " sheetId="3" r:id="rId7"/>
  </sheets>
  <definedNames>
    <definedName hidden="1" localSheetId="0" name="_xlnm._FilterDatabase">'Danh sách Test Case'!$A$6:$M$317</definedName>
    <definedName hidden="1" localSheetId="0" name="Z_5FC132C1_EA04_4508_A78A_FC2C2EEE9B8E_.wvu.FilterData">'Danh sách Test Case'!$A$6:$M$317</definedName>
    <definedName hidden="1" localSheetId="0" name="Z_AE52FC44_BB32_4999_8B5F_507D33A5E447_.wvu.FilterData">'Danh sách Test Case'!$A$6:$M$317</definedName>
    <definedName hidden="1" localSheetId="0" name="Z_7C96AD7B_B429_4C5F_81E4_F3A25944FA14_.wvu.FilterData">'Danh sách Test Case'!$A$6:$M$317</definedName>
    <definedName hidden="1" localSheetId="0" name="Z_3E3EF816_0432_4BA0_BA60_2FF02268C72A_.wvu.FilterData">'Danh sách Test Case'!$A$6:$M$317</definedName>
  </definedNames>
  <calcPr/>
  <customWorkbookViews>
    <customWorkbookView activeSheetId="0" maximized="1" windowHeight="0" windowWidth="0" guid="{5FC132C1-EA04-4508-A78A-FC2C2EEE9B8E}" name="Fail"/>
    <customWorkbookView activeSheetId="0" maximized="1" windowHeight="0" windowWidth="0" guid="{AE52FC44-BB32-4999-8B5F-507D33A5E447}" name="Chưa test"/>
    <customWorkbookView activeSheetId="0" maximized="1" windowHeight="0" windowWidth="0" guid="{7C96AD7B-B429-4C5F-81E4-F3A25944FA14}" name="Pass"/>
    <customWorkbookView activeSheetId="0" maximized="1" windowHeight="0" windowWidth="0" guid="{3E3EF816-0432-4BA0-BA60-2FF02268C72A}" name="Block"/>
  </customWorkbookViews>
</workbook>
</file>

<file path=xl/sharedStrings.xml><?xml version="1.0" encoding="utf-8"?>
<sst xmlns="http://schemas.openxmlformats.org/spreadsheetml/2006/main" count="2677" uniqueCount="1472">
  <si>
    <t>Danh sách lỗi (Fail)</t>
  </si>
  <si>
    <t>STT</t>
  </si>
  <si>
    <t>Module</t>
  </si>
  <si>
    <t>Test Case ID</t>
  </si>
  <si>
    <t>Tên Test Case</t>
  </si>
  <si>
    <t>Điều kiện tiền đề</t>
  </si>
  <si>
    <t>Bước thực hiện</t>
  </si>
  <si>
    <t>Dữ liệu test</t>
  </si>
  <si>
    <t>Kết quả mong đợi</t>
  </si>
  <si>
    <t>Kết quả thực tế</t>
  </si>
  <si>
    <t>Trạng thái</t>
  </si>
  <si>
    <t>Mức độ ưu tiên</t>
  </si>
  <si>
    <t>Người test</t>
  </si>
  <si>
    <t>Ngày test</t>
  </si>
  <si>
    <t>Danh sách Test Case</t>
  </si>
  <si>
    <t>Người dùng</t>
  </si>
  <si>
    <t>Đăng ký tài khoản Khách hàng mới thành công</t>
  </si>
  <si>
    <t>SĐT chưa tồn tại trong hệ thống</t>
  </si>
  <si>
    <t>1. Mở App khách &gt; Chọn Đăng ký.
2. Nhập thông tin hợp lệ &gt; Nhấn Tiếp tục.
3. Nhập mã OTP gửi về SMS.</t>
  </si>
  <si>
    <t>Họ tên: Lương Thị Hồng HươngSĐT: 0377974047Email: a@gmail.comPass: Abc@123OTP: 6 số đúng</t>
  </si>
  <si>
    <t>Tạo tài khoản thành công (verify='verified'), cấp JWT Token và chuyển vào Trang chủ.</t>
  </si>
  <si>
    <t>Pass</t>
  </si>
  <si>
    <t>Cao</t>
  </si>
  <si>
    <t>Bùi Lương Trọng Trí</t>
  </si>
  <si>
    <t>Đăng ký với SĐT đã kích hoạt trước đó</t>
  </si>
  <si>
    <t>SĐT đã tồn tại với verify='verified'</t>
  </si>
  <si>
    <t>1. Mở App khách &gt; Chọn Đăng ký.
2. Nhập SĐT đã tồn tại &gt; Bấm Tiếp tục.</t>
  </si>
  <si>
    <t>SĐT: 0394351771</t>
  </si>
  <si>
    <t>Hệ thống báo lỗi 409 Conflict ("Số điện thoại đã tồn tại"). Không gửi OTP.</t>
  </si>
  <si>
    <t>Đăng ký lại với SĐT đang ở trạng thái unverified</t>
  </si>
  <si>
    <t>SĐT đã tạo bản ghi tạm (unverified) trước đó</t>
  </si>
  <si>
    <t>1. Mở App khách &gt; Đăng ký lại bằng SĐT cũ.
2. Nhập họ tên, mật khẩu mới &gt; Nhấn Tiếp tục.
3. Nhập đúng OTP mới.</t>
  </si>
  <si>
    <t>SĐT unverified cũHọ tên mớiPass mới</t>
  </si>
  <si>
    <t>Hệ thống ghi đè thông tin mới, gửi OTP mới; xác thực OTP thành công chuyển verify='verified'.</t>
  </si>
  <si>
    <t>BÁO CÁO TỔNG HỢP KIỂM THỬ</t>
  </si>
  <si>
    <t>Trung bình</t>
  </si>
  <si>
    <t>Dự án / Hệ thống:</t>
  </si>
  <si>
    <t>FixHub</t>
  </si>
  <si>
    <t>Phạm vi kiểm thử:</t>
  </si>
  <si>
    <t>Toàn bộ luồng nghiệp vụ (App Khách hàng, App Thợ, Web Admin)</t>
  </si>
  <si>
    <t>Thời gian kiểm thử:</t>
  </si>
  <si>
    <t>17/09/2026 - 23/09/2026</t>
  </si>
  <si>
    <t>Người tổng hợp:</t>
  </si>
  <si>
    <t>Ngày lập báo cáo:</t>
  </si>
  <si>
    <t>1. Thống kê theo trạng thái thực thi</t>
  </si>
  <si>
    <t>Nhập sai OTP quá 3 lần liên tiếp khi đăng ký</t>
  </si>
  <si>
    <t>Số lượng</t>
  </si>
  <si>
    <t>Đang ở màn hình nhập OTP đăng ký</t>
  </si>
  <si>
    <t>Tỷ lệ (%)</t>
  </si>
  <si>
    <t>1. Nhập sai OTP lần 1 &gt; Bấm Xác nhận.
2. Nhập sai lần 2 &gt; Bấm Xác nhận.
3. Nhập sai lần 3 &gt; Bấm Xác nhận.</t>
  </si>
  <si>
    <t>OTP: 000000 (sai)</t>
  </si>
  <si>
    <t>OTP bị hủy (is_expired=TRUE), khóa yêu cầu từ Device/IP 15 phút kèm cảnh báo.</t>
  </si>
  <si>
    <t>Block</t>
  </si>
  <si>
    <t>Đăng ký với Email sai định dạng RFC 5322</t>
  </si>
  <si>
    <t>1. Mở màn hình đăng ký
2. Nhập email sai định dạng
3. Nhập các trường còn lại hợp lệ
4. Bấm 'Tiếp tục'</t>
  </si>
  <si>
    <t>Email: abc@@gmail</t>
  </si>
  <si>
    <t>Hệ thống báo lỗi định dạng Email không hợp lệ</t>
  </si>
  <si>
    <t>Fail</t>
  </si>
  <si>
    <t>Đăng ký với SĐT sai định dạng (không đủ 10 số)</t>
  </si>
  <si>
    <t>1. Mở màn hình đăng ký
2. Nhập SĐT sai định dạng
3. Nhập các trường còn lại hợp lệ
4. Bấm 'Tiếp tục'</t>
  </si>
  <si>
    <t>SĐT: 09123456 (8 số)</t>
  </si>
  <si>
    <t>Hệ thống báo lỗi validate định dạng SĐT, không cho phép submit</t>
  </si>
  <si>
    <t>Chưa test</t>
  </si>
  <si>
    <t>Đăng nhập tài khoản sai mật khẩu quá 5 lần</t>
  </si>
  <si>
    <t>Tài khoản khách hàng đang active</t>
  </si>
  <si>
    <t>1. Nhập đúng SĐT 
2. Nhập sai mật khẩu liên tiếp 5 lần 
3. Nhấn Đăng nhập.</t>
  </si>
  <si>
    <t>SĐT: 0394351771Pass: SaiPass123</t>
  </si>
  <si>
    <t>Báo lỗi 401; sau lần 5 tạm khóa đăng nhập của SĐT trong 15 phút.</t>
  </si>
  <si>
    <t>Tổng cộng</t>
  </si>
  <si>
    <t>Tỷ lệ Pass / số đã thực thi (Pass+Fail):</t>
  </si>
  <si>
    <t>Đăng ký với mật khẩu ít hơn 6 ký tự</t>
  </si>
  <si>
    <t>2. Thống kê theo mức độ ưu tiên</t>
  </si>
  <si>
    <t>1. Mở màn hình đăng ký
2. Nhập mật khẩu &lt; 6 ký tự
3. Bấm 'Tiếp tục</t>
  </si>
  <si>
    <t>Mật khẩu: Ab@1</t>
  </si>
  <si>
    <t>Hệ thống báo lỗi mật khẩu phải từ 6-160 ký tự</t>
  </si>
  <si>
    <t>Đăng ký với mật khẩu nhiều hơn 160 ký tự</t>
  </si>
  <si>
    <t>1. Mở màn hình đăng ký
2. Nhập mật khẩu &gt; 160 ký tự
3. Bấm 'Tiếp tục'</t>
  </si>
  <si>
    <t>Mật khẩu gồm 161 ký tự</t>
  </si>
  <si>
    <t>thấp</t>
  </si>
  <si>
    <t>3. Thống kê theo Module</t>
  </si>
  <si>
    <t>Tổng</t>
  </si>
  <si>
    <t>Đăng ký với mật khẩu thiếu chữ viết hoa</t>
  </si>
  <si>
    <t>1. Mở màn hình đăng ký
2. Nhập mật khẩu không có chữ hoa
3. Bấm 'Tiếp tục'</t>
  </si>
  <si>
    <t>Mật khẩu: abc@123</t>
  </si>
  <si>
    <t>Hệ thống báo lỗi mật khẩu phải có ít nhất 1 chữ hoa</t>
  </si>
  <si>
    <t>Thợ &amp; KYC</t>
  </si>
  <si>
    <t>Đăng ký với mật khẩu thiếu chữ số</t>
  </si>
  <si>
    <t>1. Mở màn hình đăng ký
2. Nhập mật khẩu không có số
3. Bấm 'Tiếp tục'</t>
  </si>
  <si>
    <t>Mật khẩu: Abc@xyz</t>
  </si>
  <si>
    <t>Hệ thống báo lỗi mật khẩu phải có ít nhất 1 chữ số</t>
  </si>
  <si>
    <t>Tìm kiếm &amp; Điều phối</t>
  </si>
  <si>
    <t>Đăng ký với mật khẩu thiếu ký tự đặc biệt</t>
  </si>
  <si>
    <t>1. Mở màn hình đăng ký
2. Nhập mật khẩu không có ký tự đặc biệt
3. Bấm 'Tiếp tục'</t>
  </si>
  <si>
    <t>Mật khẩu: Abc12345</t>
  </si>
  <si>
    <t>Hệ thống báo lỗi mật khẩu phải có ít nhất 1 ký tự đặc biệt</t>
  </si>
  <si>
    <t>Đặt lịch &amp; Đơn hàng</t>
  </si>
  <si>
    <t>Cơ chế Single Active Session (Đăng nhập thiết bị B đá thiết bị A)</t>
  </si>
  <si>
    <t>Tài khoản đang đăng nhập hoạt động trên Thiết bị A</t>
  </si>
  <si>
    <t>1. Dùng tài khoản đó đăng nhập trên Thiết bị B.
2. Trên Thiết bị A, thực hiện gọi 1 API bất kỳ.</t>
  </si>
  <si>
    <t>Cùng 1 tài khoản khách hàng</t>
  </si>
  <si>
    <t>Thiết bị B đăng nhập thành công. Thiết bị A nhận lỗi 401 (SESSION_TERMINATED_BY_ANOTHER_DEVICE), đếm ngược 15s và đẩy về màn Đăng nhập.</t>
  </si>
  <si>
    <t>Phát sinh dịch vụ (OCR)</t>
  </si>
  <si>
    <t>Nhập mã OTP đã hết hạn (&gt; 3 phút)</t>
  </si>
  <si>
    <t>OTP đã được sinh quá 3 phút trước</t>
  </si>
  <si>
    <t>1. Nhập đúng mã OTP nhưng đã hết hạn
2. Bấm xác nhận</t>
  </si>
  <si>
    <t>Thanh toán &amp; Ví</t>
  </si>
  <si>
    <t>OTP hết hạn (expired_at &lt; NOW())</t>
  </si>
  <si>
    <t>Hệ thống báo lỗi mã OTP đã hết hạn</t>
  </si>
  <si>
    <t>Bấm 'Gửi lại mã' sau khi đủ 120 giây</t>
  </si>
  <si>
    <t>Đang ở màn hình OTP, đã quá 120 giây</t>
  </si>
  <si>
    <t>1. Bấm nút 'Gửi lại mã' sau 120 giây</t>
  </si>
  <si>
    <t>Đánh giá &amp; Phản hồi</t>
  </si>
  <si>
    <t>OTP cũ bị huỷ (is_expired=TRUE); OTP mới được sinh với hạn 3 phút mới và gửi SMS</t>
  </si>
  <si>
    <t>Khiếu nại &amp; Bảo hành</t>
  </si>
  <si>
    <t>Gửi lại mã OTP vượt quá 3 lần trong 15 phút</t>
  </si>
  <si>
    <t>Đã gửi lại OTP 3 lần trong vòng 15 phút cho 1 SĐT</t>
  </si>
  <si>
    <t>1. Tiếp tục bấm 'Gửi lại mã' lần thứ 4 trong vòng 15 phút</t>
  </si>
  <si>
    <t>Số lần gửi lại: lần 4 trong 15 phút</t>
  </si>
  <si>
    <t>Hệ thống trả lỗi 429 Too Many Requests, không gửi thêm OTP</t>
  </si>
  <si>
    <t>Chat Khách - Thợ</t>
  </si>
  <si>
    <t>Thoát App khi đang ở màn hình OTP và quay lại đăng ký cùng SĐT trong vòng 3 phút</t>
  </si>
  <si>
    <t>Đã đăng ký với SĐT X (verify='unverified'), OTP cũ còn hạn (&lt; 3 phút)</t>
  </si>
  <si>
    <t>1. Thoát App khi đang ở màn hình nhập OTP
2. Mở lại App, nhập lại cùng SĐT X để đăng ký
3. Bấm 'Tiếp tục'</t>
  </si>
  <si>
    <t>SĐT X, OTP cũ còn hạn</t>
  </si>
  <si>
    <t>Backend nhận diện OTP cũ còn hạn, trả cờ OTP_ALREADY_SENT kèm số giây còn lại; Client vào thẳng màn hình OTP với đếm ngược tiếp tục, không gửi SMS mới</t>
  </si>
  <si>
    <t>Hiện thông báo không thể gửi OTP, không quay lại màn hình nhập OTP</t>
  </si>
  <si>
    <t>Quản trị hệ thống</t>
  </si>
  <si>
    <t>Khôi phục mật khẩu (Quên mật khẩu) qua SMS OTP</t>
  </si>
  <si>
    <t>Tài khoản khách hàng tồn tại trong hệ thống</t>
  </si>
  <si>
    <t>1. Bấm Quên mật khẩu &gt; Nhập SĐT.
2. Nhập đúng OTP nhận được.
3. Nhập mật khẩu mới thỏa điều kiện &gt; Bấm Xác nhận.</t>
  </si>
  <si>
    <t>SĐT: 0394351771Pass mới: NewPass@2026</t>
  </si>
  <si>
    <t>Đổi mật khẩu thành công, toàn bộ session cũ bị revoked (reason='password_changed'), buộc đăng nhập lại bằng mật khẩu mới.</t>
  </si>
  <si>
    <t>Đăng nhập thành công với SĐT và mật khẩu đúng</t>
  </si>
  <si>
    <t>Tài khoản tồn tại, verify='verified', role='customer'</t>
  </si>
  <si>
    <t>1. Nhập SĐT và Mật khẩu đúng
2. Bấm 'Đăng nhập'</t>
  </si>
  <si>
    <t>SĐT: 0394351771; Mật khẩu đúng</t>
  </si>
  <si>
    <t>Đăng nhập thành công; trả về access_token và refresh_token; tạo users_session mới status='active'</t>
  </si>
  <si>
    <t>Đăng nhập với SĐT không tồn tại trong hệ thống</t>
  </si>
  <si>
    <t>SĐT chưa từng đăng ký</t>
  </si>
  <si>
    <t>1. Nhập SĐT không tồn tại và Mật khẩu bất kỳ
2. Bấm 'Đăng nhập'</t>
  </si>
  <si>
    <t>SĐT: 0999999999 (không tồn tại)</t>
  </si>
  <si>
    <t>Trả lỗi 401 Unauthorized: 'Số điện thoại hoặc mật khẩu không chính xác'</t>
  </si>
  <si>
    <t>Đăng nhập với tài khoản có role khác 'customer'</t>
  </si>
  <si>
    <t>Tài khoản tồn tại với role='partner' hoặc 'admin'</t>
  </si>
  <si>
    <t>1. Nhập SĐT của tài khoản partner/admin và mật khẩu đúng
2. Bấm 'Đăng nhập' (trên App khách hàng)</t>
  </si>
  <si>
    <t>SĐT partner/admin</t>
  </si>
  <si>
    <t>Trả lỗi 401 Unauthorized do role != 'customer'</t>
  </si>
  <si>
    <t>Đăng nhập khi tài khoản đang bị khoá ('suspended')</t>
  </si>
  <si>
    <t>Tài khoản tồn tại, verify='suspended'</t>
  </si>
  <si>
    <t>1. Nhập SĐT và mật khẩu đúng của tài khoản suspended
2. Bấm 'Đăng nhập'</t>
  </si>
  <si>
    <t>SĐT tài khoản suspended</t>
  </si>
  <si>
    <t>Trả lỗi 403 Forbidden: 'Tài khoản đã bị tạm khóa'</t>
  </si>
  <si>
    <t>Đăng nhập sai mật khẩu</t>
  </si>
  <si>
    <t>Tài khoản tồn tại, verify='verified'</t>
  </si>
  <si>
    <t>1. Nhập đúng SĐT, sai mật khẩu
2. Bấm 'Đăng nhập'</t>
  </si>
  <si>
    <t>Mật khẩu sai</t>
  </si>
  <si>
    <t>Trả lỗi 401 Unauthorized: 'Sai thông tin đăng nhập'</t>
  </si>
  <si>
    <t>Đăng nhập sai mật khẩu 5 lần liên tiếp</t>
  </si>
  <si>
    <t>1. Nhập sai mật khẩu liên tiếp 5 lần</t>
  </si>
  <si>
    <t>5 lần nhập sai mật khẩu</t>
  </si>
  <si>
    <t>Tài khoản tạm khoá đăng nhập trong 15 phút; hiển thị thông báo 'Tài khoản tạm thời bị khóa đăng nhập do nhập sai 5 lần. Vui lòng thử lại sau 15 phút hoặc sử dụng Quên mật khẩu'</t>
  </si>
  <si>
    <t>Đăng nhập lại trong thời gian đang bị tạm khoá do sai mật khẩu</t>
  </si>
  <si>
    <t>Tài khoản đang bị khoá đăng nhập 15 phút do sai mật khẩu 5 lần</t>
  </si>
  <si>
    <t>1. Nhập đúng mật khẩu trong thời gian bị khoá
2. Bấm 'Đăng nhập'</t>
  </si>
  <si>
    <t>Mật khẩu đúng nhưng đang trong 15 phút khoá</t>
  </si>
  <si>
    <t>Hệ thống vẫn từ chối đăng nhập và hiển thị thông báo còn thời gian khoá</t>
  </si>
  <si>
    <t>Đăng xuất thành công</t>
  </si>
  <si>
    <t>Khách hàng đã đăng nhập, có session active</t>
  </si>
  <si>
    <t>1. Bấm 'Đăng xuất'</t>
  </si>
  <si>
    <t>Session hiện tại chuyển status='revoked', reason='user_logout'; token trên thiết bị bị vô hiệu hoá; chuyển về màn hình đăng nhập</t>
  </si>
  <si>
    <t>Yêu cầu quên mật khẩu với SĐT chưa đăng ký</t>
  </si>
  <si>
    <t>SĐT không tồn tại trong hệ thống</t>
  </si>
  <si>
    <t>1. Bấm 'Quên mật khẩu'
2. Nhập SĐT không tồn tại
3. Bấm xác nhận</t>
  </si>
  <si>
    <t>SĐT không tồn tại</t>
  </si>
  <si>
    <t>Hệ thống báo lỗi SĐT không tồn tại, không gửi OTP</t>
  </si>
  <si>
    <t>Yêu cầu quên mật khẩu với SĐT hợp lệ đã đăng ký</t>
  </si>
  <si>
    <t>SĐT tồn tại và đã verified</t>
  </si>
  <si>
    <t>1. Bấm 'Quên mật khẩu'
2. Nhập SĐT hợp lệ
3. Bấm xác nhận</t>
  </si>
  <si>
    <t>SĐT: 0912345678 (đã tồn tại)</t>
  </si>
  <si>
    <t>Hệ thống sinh OTP SMS 6 số, hạn 3 phút, type='reset_password' và gửi về SĐT</t>
  </si>
  <si>
    <t>Cập nhật hồ sơ với Ngày sinh lớn hơn ngày hiện tại</t>
  </si>
  <si>
    <t>Khách hàng đã đăng nhập</t>
  </si>
  <si>
    <t>1. Vào mục Hồ sơ cá nhân.
2. Chọn Ngày sinh trong tương lai.
3. Bấm Lưu thay đổi.</t>
  </si>
  <si>
    <t>DOB: Ngày mai</t>
  </si>
  <si>
    <t>Hệ thống chặn không cho chọn ngày tương lai</t>
  </si>
  <si>
    <t>Thợ nộp hồ sơ đăng ký mới đầy đủ thông tin hợp lệ</t>
  </si>
  <si>
    <t>SĐT và CCCD chưa từng đăng ký thợ</t>
  </si>
  <si>
    <t>1. Mở App thợ &gt; Trở thành thợ FixHub.
2. Nhập thông tin cá nhân, chọn khu vực, kỹ năng.
3. Tải ảnh CCCD 2 mặt (&lt;=5MB).
4. Bấm Gửi hồ sơ.</t>
  </si>
  <si>
    <t>Họ tên: Trần Văn BSĐT: 0987654321CCCD: 0123456789Ảnh: jpg &lt; 5MB</t>
  </si>
  <si>
    <t>Hồ sơ được tạo thành công với trạng thái pending, users.verify='unverified'. Ảnh lưu Private Bucket.</t>
  </si>
  <si>
    <t>Nộp hồ sơ thợ với số CCCD đã tồn tại</t>
  </si>
  <si>
    <t>CCCD đã có trong bảng technician_profile</t>
  </si>
  <si>
    <t>1. Điền form đăng ký thợ.
2. Nhập CCCD đã tồn tại trên hệ thống.
3. Bấm Gửi hồ sơ.</t>
  </si>
  <si>
    <t>CCCD: 0123456789 (đã có)</t>
  </si>
  <si>
    <t>Báo lỗi 409 Conflict ("Số điện thoại hoặc Số CCCD này đã tồn tại trên hệ thống").</t>
  </si>
  <si>
    <t>Thợ đăng nhập khi hồ sơ đang chờ duyệt (pending)</t>
  </si>
  <si>
    <t>Tài khoản thợ có approval_status='pending'</t>
  </si>
  <si>
    <t>1. Mở App thợ.
2. Nhập đúng SĐT và mật khẩu.
3. Bấm Đăng nhập.</t>
  </si>
  <si>
    <t>SĐT thợ đang pending</t>
  </si>
  <si>
    <t>Chặn đăng nhập, trả về HTTP 403 Forbidden kèm thông báo hồ sơ đang chờ xét duyệt.</t>
  </si>
  <si>
    <t>Admin phê duyệt hồ sơ thợ hợp lệ</t>
  </si>
  <si>
    <t>Hồ sơ thợ đang ở trạng thái pending</t>
  </si>
  <si>
    <t>1. Admin vào Quản lý thợ &gt; Danh sách chờ duyệt.
2. Mở chi tiết đối soát thông tin và ảnh CCCD.
3. Bấm Phê duyệt hồ sơ.</t>
  </si>
  <si>
    <t>ID hồ sơ hợp lệ</t>
  </si>
  <si>
    <t>Cập nhật approval_status='approved', users.verify='verified'. Gửi SMS thông báo phê duyệt thành công cho thợ.</t>
  </si>
  <si>
    <t>Admin từ chối hồ sơ thợ kèm lý do</t>
  </si>
  <si>
    <t>1. Mở chi tiết hồ sơ chờ duyệt.
2. Bấm Từ chối.
3. Nhập lý do từ chối &gt; Xác nhận.</t>
  </si>
  <si>
    <t>Lý do: "Ảnh CCCD mờ, không rõ số"</t>
  </si>
  <si>
    <t>Cập nhật approval_status='rejected', lưu rejection_reason. Bắn SMS thông báo từ chối kèm lý do cho thợ.</t>
  </si>
  <si>
    <t>Đăng nhập thành công sau khi được Admin duyệt</t>
  </si>
  <si>
    <t>Thợ đã được Admin duyệt (approved)</t>
  </si>
  <si>
    <t>SĐT &amp; Pass thợ approved</t>
  </si>
  <si>
    <t>Cấp JWT Token thành công và chuyển thẳng vào Màn hình Trang chủ (Home Dashboard).</t>
  </si>
  <si>
    <t>Admin xem danh sách Ticket unassigned ở màn Nhiệm vụ</t>
  </si>
  <si>
    <t>Có ít nhất 1 ticket ở trạng thái unassigned</t>
  </si>
  <si>
    <t>1. Admin vào màn Nhiệm vụ.
2. Chọn nhóm Chưa gán.</t>
  </si>
  <si>
    <t>Ticket unassigned</t>
  </si>
  <si>
    <t>Danh sách hiển thị các ticket unassigned với mã đơn, dịch vụ, địa chỉ, giờ hẹn.</t>
  </si>
  <si>
    <t>Ticket sau khi gán hiển thị tên thợ</t>
  </si>
  <si>
    <t>Admin vừa gán ticket cho thợ</t>
  </si>
  <si>
    <t>1. Quay lại màn Nhiệm vụ.
2. Kiểm tra đơn.</t>
  </si>
  <si>
    <t>Ticket assigned</t>
  </si>
  <si>
    <t>Ticket đã gán kèm tên thợ, technician_id đúng thợ.</t>
  </si>
  <si>
    <t>Thợ thấy Ticket mới ở nhiệm vụ mới gần bạn và nhiệm vụ mới ở tab nhiệm vụ</t>
  </si>
  <si>
    <t>Admin vừa gán ticket cho thợ A</t>
  </si>
  <si>
    <t>1. Thợ A mở App thợ &gt; Nhiệm vụ &gt; Nhiệm vụ mới.</t>
  </si>
  <si>
    <t>Ticket assigned cho thợ A</t>
  </si>
  <si>
    <t>Ticket xuất hiện trong danh sách nhiệm vụ mới</t>
  </si>
  <si>
    <t>Chi tiết Ticket ở App thợ hiển thị đầy đủ thông tin công việc</t>
  </si>
  <si>
    <t>Ticket assigned cho thợ, đơn có ghi chú và ảnh</t>
  </si>
  <si>
    <t>1. Thợ mở chi tiết ticket.</t>
  </si>
  <si>
    <t>Ticket có ghi chú và ảnh</t>
  </si>
  <si>
    <t>Hiển thị đúng dịch vụ, địa chỉ, giờ hẹn, ghi chú khách và ảnh đính kèm.</t>
  </si>
  <si>
    <t>Tìm thợ theo tên trong trang gán kỹ thuật viên</t>
  </si>
  <si>
    <t>Trang gán kỹ thuật viên đang mở, có nhiều thợ</t>
  </si>
  <si>
    <t>1. Nhập một phần tên thợ vào ô tìm kiếm.</t>
  </si>
  <si>
    <t>Từ khóa: tên thợ</t>
  </si>
  <si>
    <t>Danh sách lọc còn các thợ có tên chứa từ khóa.</t>
  </si>
  <si>
    <t>Tìm thợ theo số điện thoại trong trang gán kỹ thuật viên</t>
  </si>
  <si>
    <t>1. Nhập SĐT thợ vào ô tìm kiếm.</t>
  </si>
  <si>
    <t>Từ khóa: SĐT thợ</t>
  </si>
  <si>
    <t>Hiển thị đúng thợ có SĐT khớp.</t>
  </si>
  <si>
    <t>Lọc Ticket theo trạng thái ở màn Nhiệm vụ</t>
  </si>
  <si>
    <t>Có ticket ở nhiều trạng thái khác nhau</t>
  </si>
  <si>
    <t>1. Chọn bộ lọc trạng thái unassigned/assigned/accepted lần lượt.</t>
  </si>
  <si>
    <t>Ticket nhiều trạng thái</t>
  </si>
  <si>
    <t>Danh sách chỉ hiển thị ticket đúng trạng thái đã chọn.</t>
  </si>
  <si>
    <t>Tìm Ticket theo mã đơn hàng</t>
  </si>
  <si>
    <t>Có nhiều ticket trong hệ thống</t>
  </si>
  <si>
    <t>1. Nhập mã đơn vào ô tìm kiếm ở màn Nhiệm vụ.</t>
  </si>
  <si>
    <t>Mã đơn tồn tại</t>
  </si>
  <si>
    <t>Hiển thị đúng ticket của đơn có mã đó.</t>
  </si>
  <si>
    <t>Gán thợ không làm thay đổi trạng thái đơn hàng</t>
  </si>
  <si>
    <t>Đơn confirmed, ticket unassigned</t>
  </si>
  <si>
    <t>1. Admin gán ticket cho thợ.
2. Kiểm tra orders.status.</t>
  </si>
  <si>
    <t>Đơn confirmed</t>
  </si>
  <si>
    <t>tickets.status chuyển assigned, orders.status vẫn là confirmed (hai chuỗi trạng thái độc lập).</t>
  </si>
  <si>
    <t>Thợ cũ không còn thấy Ticket sau khi bị đổi</t>
  </si>
  <si>
    <t>Admin vừa đổi thợ khỏi thợ cũ</t>
  </si>
  <si>
    <t>1. Thợ cũ mở App thợ &gt; Việc được giao/Việc đã nhận.</t>
  </si>
  <si>
    <t>Thợ cũ</t>
  </si>
  <si>
    <t>Ticket không còn xuất hiện trong danh sách công việc của thợ cũ.</t>
  </si>
  <si>
    <t>Thợ mới thấy Ticket ở trạng thái assigned và phải xác nhận lại</t>
  </si>
  <si>
    <t>Admin vừa đổi sang thợ mới</t>
  </si>
  <si>
    <t>1. Thợ mới mở App thợ &gt; Việc được giao.</t>
  </si>
  <si>
    <t>Thợ mới</t>
  </si>
  <si>
    <t>Ticket hiển thị ở Việc được giao với trạng thái chờ xác nhận, thợ mới phải bấm Xác nhận nhận việc.</t>
  </si>
  <si>
    <t>Khách thấy thông tin thợ mới sau khi Admin đổi thợ</t>
  </si>
  <si>
    <t>Ticket đã được đổi sang thợ mới</t>
  </si>
  <si>
    <t>1. Khách mở chi tiết đơn/ticket.</t>
  </si>
  <si>
    <t>Đơn có thợ mới</t>
  </si>
  <si>
    <t>Thông tin thợ hiển thị là thợ mới, không còn hiển thị thông tin thợ cũ.</t>
  </si>
  <si>
    <t>Chặn đổi thợ khi Ticket đã completed</t>
  </si>
  <si>
    <t>Ticket ở trạng thái completed</t>
  </si>
  <si>
    <t>1. Admin mở ticket completed.
2. Kiểm tra nút Đổi thợ.</t>
  </si>
  <si>
    <t>Ticket completed</t>
  </si>
  <si>
    <t>Không cho đổi thợ (nút ẩn), technician_id giữ nguyên.</t>
  </si>
  <si>
    <t>Chặn đổi thợ khi Ticket đã cancelled</t>
  </si>
  <si>
    <t>Ticket ở trạng thái cancelled</t>
  </si>
  <si>
    <t>1. Admin mở ticket cancelled.
2. Kiểm tra nút Đổi thợ.</t>
  </si>
  <si>
    <t>Ticket cancelled</t>
  </si>
  <si>
    <t>Không cho đổi thợ, ticket giữ nguyên trạng thái cancelled.</t>
  </si>
  <si>
    <t>Thợ mới từ chối nhận việc sau khi được đổi</t>
  </si>
  <si>
    <t>Ticket vừa được đổi sang thợ mới, trạng thái assigned</t>
  </si>
  <si>
    <t>1. Thợ mới mở ticket &gt; Bấm Từ chối.</t>
  </si>
  <si>
    <t>tickets.status về unassigned, technician_id=NULL, log action='rejected', Web Admin hiện cảnh báo đỏ.</t>
  </si>
  <si>
    <t>Thợ mới xác nhận nhận việc sau khi được đổi</t>
  </si>
  <si>
    <t>1. Thợ mới mở ticket &gt; Bấm Xác nhận nhận việc.</t>
  </si>
  <si>
    <t>tickets.status chuyển accepted, log action='accepted', khách nhận Push có thợ nhận đơn.</t>
  </si>
  <si>
    <t>Tìm kiếm và lọc dịch vụ</t>
  </si>
  <si>
    <t>Đã có danh mục và dịch vụ trên hệ thống</t>
  </si>
  <si>
    <t>1. Khách vào màn hình Tìm kiếm.
2. Nhập từ khóa tìm kiếm</t>
  </si>
  <si>
    <t>Từ khóa: "máy lạnh"</t>
  </si>
  <si>
    <t>Danh sách dịch vụ hiển thị đúng theo từ khóa</t>
  </si>
  <si>
    <t>Sắp xếp dịch vụ theo giá tăng dần</t>
  </si>
  <si>
    <t>1. Chọn sắp xếp 'Giá tăng dần'
2. Xem kết quả</t>
  </si>
  <si>
    <t>Sắp xếp: base_price ASC</t>
  </si>
  <si>
    <t>Danh sách dịch vụ được sắp xếp tăng dần theo giá</t>
  </si>
  <si>
    <t>Sắp xếp dịch vụ theo giá giảm dần</t>
  </si>
  <si>
    <t>1. Chọn sắp xếp 'Giá giảm dần'
2. Xem kết quả</t>
  </si>
  <si>
    <t>Sắp xếp: base_price DESC</t>
  </si>
  <si>
    <t>Danh sách dịch vụ được sắp xếp giảm dần theo giá</t>
  </si>
  <si>
    <t>Chặn gán thợ khi thợ không hoạt động</t>
  </si>
  <si>
    <t>Thợ đang tắt trạng thái hoạt động</t>
  </si>
  <si>
    <t>1. Admin vào Nhiệm vụ.
2. Chọn thợ từ danh sách gợi ý.
3. Bấm Gán việc.</t>
  </si>
  <si>
    <t>Thợ tắt hoạt động</t>
  </si>
  <si>
    <t>Danh sách gợi ý thợ không có chứa thợ không hoạt động</t>
  </si>
  <si>
    <t>Tự động sinh Ticket ở trạng thái unassigned khi Order confirmed</t>
  </si>
  <si>
    <t>Đơn hàng chuyển sang trạng thái confirmed</t>
  </si>
  <si>
    <t>Admin bấm Xác nhận.</t>
  </si>
  <si>
    <t>Đơn hàng hợp lệ</t>
  </si>
  <si>
    <t>Hệ thống tự động tạo 01 bản ghi tickets với status='unassigned', không tự động gán thợ.</t>
  </si>
  <si>
    <t>Admin gán Ticket thủ công cho thợ phù hợp</t>
  </si>
  <si>
    <t>Ticket đang ở trạng thái unassigned</t>
  </si>
  <si>
    <t>Thợ thỏa mãn khu vực &amp; chuyên môn</t>
  </si>
  <si>
    <t>tickets.status chuyển sang assigned, lưu log action='assigned', bắn Push thông báo việc mới cho thợ.</t>
  </si>
  <si>
    <t>Thợ bấm "Xác nhận nhận việc" (Accept Ticket)</t>
  </si>
  <si>
    <t>Ticket được gán cho thợ (status='assigned')</t>
  </si>
  <si>
    <t>1. Thợ mở thông báo/mục Việc được giao.
2. Xem chi tiết Ticket.
3. Bấm "Xác nhận nhận việc".</t>
  </si>
  <si>
    <t>Ticket ID tương ứng</t>
  </si>
  <si>
    <t>tickets.status chuyển sang accepted, ghi log action='accepted', bắn Push thông báo cho khách hàng đã có thợ nhận đơn.</t>
  </si>
  <si>
    <t>Thợ bấm "Từ chối" nhận việc</t>
  </si>
  <si>
    <t>1. Thợ mở chi tiết Ticket được giao.
2. Bấm Từ chối</t>
  </si>
  <si>
    <t>tickets.status trở về unassigned, technician_id=NULL, ghi log action='rejected'. Web Admin hiện cảnh báo đỏ.</t>
  </si>
  <si>
    <t>Ticket ở trạng thái assigned quá 15 phút thợ không phản hồi</t>
  </si>
  <si>
    <t>Thợ được gán việc nhưng chưa Accept/Reject</t>
  </si>
  <si>
    <t>Chờ quá 15 phút kể từ thời điểm Admin gán việc.</t>
  </si>
  <si>
    <t>Ticket assigned &gt; 15 phút</t>
  </si>
  <si>
    <t>Web Admin Portal hiển thị tag cảnh báo màu vàng ("Chờ phản hồi &gt;15p") để Admin can thiệp Re-assign.</t>
  </si>
  <si>
    <t>Admin Re-assign (Đổi thợ khác) khi Ticket đang accepted</t>
  </si>
  <si>
    <t>Ticket đang accepted nhưng thợ gặp sự cố</t>
  </si>
  <si>
    <t>1. Admin mở Ticket đang accepted.
2. Bấm Đổi thợ &gt; Chọn thợ mới &gt; Nhập lý do.
3. Xác nhận gán.</t>
  </si>
  <si>
    <t>Thợ mới, Lý do đổi</t>
  </si>
  <si>
    <t>technician_id đổi sang thợ mới, trạng thái về assigned, bắn Push hủy việc cho thợ cũ và gửi việc cho thợ mới.</t>
  </si>
  <si>
    <t>Khách hàng hủy đơn khi Admin đã gán thợ (Ticket assigned/accepted)</t>
  </si>
  <si>
    <t>Order đã confirmed, Ticket đang ở trạng thái assigned hoặc accepted</t>
  </si>
  <si>
    <t>1. Khách hàng vào chi tiết đơn hàng
2. Bấm 'Hủy đơn'</t>
  </si>
  <si>
    <t>Ticket đang assigned/accepted</t>
  </si>
  <si>
    <t>Backend cập nhật orders.status='cancelled' và tickets.status='cancelled'; bắn Push cho thợ báo đơn bị hủy; Ticket biến mất khỏi danh sách việc của thợ</t>
  </si>
  <si>
    <t>Khách hàng hủy đơn khi Ticket vẫn đang unassigned</t>
  </si>
  <si>
    <t>Order đã confirmed, Ticket chưa được gán thợ nào (unassigned)</t>
  </si>
  <si>
    <t>Ticket đang unassigned</t>
  </si>
  <si>
    <t>Backend cập nhật orders.status='cancelled' và tickets.status='cancelled'; do chưa gán thợ nên không cần bắn Push cho thợ nào</t>
  </si>
  <si>
    <t>Ticket bị từ chối nhiều lần liên tiếp bởi nhiều thợ khác nhau</t>
  </si>
  <si>
    <t>Ticket đã bị ít nhất 2 thợ khác nhau từ chối liên tiếp</t>
  </si>
  <si>
    <t>1. Admin gán Ticket cho thợ A -&gt; thợ A từ chối
2. Admin gán lại cho thợ B -&gt; thợ B từ chối
3. Admin mở lại chi tiết Ticket, xem lịch sử</t>
  </si>
  <si>
    <t>2 lượt từ chối liên tiếp từ 2 thợ khác nhau</t>
  </si>
  <si>
    <t>Mỗi lần từ chối tạo 1 bản ghi log riêng trong ticket_assignment_logs; Web Admin Portal hiển thị đầy đủ lịch sử từ chối (thợ, thời điểm, lý do) để Admin nắm ngữ cảnh trước khi gán lại</t>
  </si>
  <si>
    <t>Admin gán ngoại lệ cho thợ ngoài khu vực/chuyên môn</t>
  </si>
  <si>
    <t>Đang mở chi tiết Ticket; Admin tắt bộ lọc mặc định để chọn thợ không thỏa điều kiện khu vực/chuyên môn</t>
  </si>
  <si>
    <t>1. Admin tắt bộ lọc mặc định
2. Chọn 1 thợ ngoài khu vực/chuyên môn
3. Bấm 'Gán việc'</t>
  </si>
  <si>
    <t>Thợ không đúng Quận/Huyện hoặc không đúng chuyên môn của Ticket</t>
  </si>
  <si>
    <t>Hệ thống hiện Pop-up xác nhận override; khi Admin xác nhận, hệ thống gán việc bình thường và lưu lý do override vào log</t>
  </si>
  <si>
    <t>Admin hủy xác nhận Pop-up override khi gán thợ ngoài khu vực/chuyên môn</t>
  </si>
  <si>
    <t>Pop-up xác nhận override đang hiển thị</t>
  </si>
  <si>
    <t>1. Ở Pop-up xác nhận override, bấm 'Hủy'</t>
  </si>
  <si>
    <t>Thao tác gán việc bị hủy, Ticket vẫn giữ nguyên trạng thái 'unassigned', không có thay đổi nào được lưu</t>
  </si>
  <si>
    <t>Kiểm tra Order và Ticket là 2 chuỗi trạng thái độc lập</t>
  </si>
  <si>
    <t>Ticket đang được xử lý qua nhiều trạng thái (assigned, accepted...)</t>
  </si>
  <si>
    <t>1. Theo dõi trạng thái Order trong khi Ticket thay đổi trạng thái nhiều lần (assigned -&gt; unassigned -&gt; assigned...)</t>
  </si>
  <si>
    <t>Trạng thái Order (VD: confirmed) không bị ảnh hưởng bởi các thay đổi trạng thái của Ticket</t>
  </si>
  <si>
    <t>Admin/Điều phối nhận thông báo khi có Ticket mới cần phân bổ</t>
  </si>
  <si>
    <t>Khách vừa đặt đơn thành công, Ticket vừa được sinh (unassigned)</t>
  </si>
  <si>
    <t>1. Khách đặt đơn thành công
2. Kiểm tra Web Notification trên Admin Portal</t>
  </si>
  <si>
    <t>Admin/Điều phối nhận được thông báo dạng: 'Có 01 đơn hàng mới #[mã đơn] tại [Quận/Huyện] cần phân bổ thợ.'</t>
  </si>
  <si>
    <t>Thợ nhận Push khi Admin gán thợ</t>
  </si>
  <si>
    <t>Admin vừa gán Ticket cho thợ</t>
  </si>
  <si>
    <t>1. Admin bấm 'Gán thợ'
2. Kiểm tra Push App/Sound trên điện thoại thợ</t>
  </si>
  <si>
    <t>Thợ nhận Push: 'Bạn vừa được điều phối công việc mới tại [Quận/Huyện] vào lúc [Giờ hẹn]. Vui lòng xác nhận.'</t>
  </si>
  <si>
    <t>Khách hàng nhận Push khi thợ bấm Xác nhận nhận việc</t>
  </si>
  <si>
    <t>Thợ vừa bấm xác nhận Ticket</t>
  </si>
  <si>
    <t>1. Thợ bấm 'Xác nhận'
2. Kiểm tra Push trên App khách hàng</t>
  </si>
  <si>
    <t>Khách hàng nhận Push: 'Kỹ thuật viên [Tên Thợ] đã tiếp nhận đơn hàng của bạn và sẽ có mặt đúng giờ hẹn.'</t>
  </si>
  <si>
    <t>Admin/Điều phối nhận cảnh báo khi thợ Báo bận/Từ chối nhận việc</t>
  </si>
  <si>
    <t>Thợ vừa bấm Từ chối 1 Ticket</t>
  </si>
  <si>
    <t>1. Thợ bấm 'Từ chối' kèm lý do
2. Kiểm tra Web Alert/Sound trên Admin Portal</t>
  </si>
  <si>
    <t>Lý do: 'Bận việc cá nhân'</t>
  </si>
  <si>
    <t>Admin nhận cảnh báo: 'Cảnh báo: Thợ [Tên Thợ] vừa từ chối Ticket #[mã] (Lý do: [Lý do]). Vui lòng gán thợ khác.'</t>
  </si>
  <si>
    <t>Thợ (đã được gán) nhận Push khi khách hàng hủy đơn</t>
  </si>
  <si>
    <t>Ticket đang assigned/accepted cho thợ; khách hàng vừa hủy đơn</t>
  </si>
  <si>
    <t>1. Khách hàng bấm 'Hủy đơn'
2. Kiểm tra Push trên App thợ</t>
  </si>
  <si>
    <t>Thợ nhận Push: 'Đơn hàng tại [Quận/Huyện] vào lúc [Giờ hẹn] đã bị khách hàng hủy.'</t>
  </si>
  <si>
    <t>Đặt đơn COD với 1 dịch vụ, số lượng mặc định</t>
  </si>
  <si>
    <t>Khách đã đăng nhập, có địa chỉ đã lưu, dịch vụ đang hoạt động</t>
  </si>
  <si>
    <t>1. Mở chi tiết dịch vụ &gt; Chọn Đặt lịch.
2. Chọn địa chỉ, ngày giờ hẹn.
3. Chọn COD &gt; Bấm Xác nhận đặt đơn.</t>
  </si>
  <si>
    <t>Dịch vụ: Vệ sinh máy lạnh; SL: 1; payment_method: cod</t>
  </si>
  <si>
    <t>Đơn tạo thành công với orders.status='pending_confirm', payment_status='unpaid'; total_amount = đơn giá × 1.</t>
  </si>
  <si>
    <t>Đặt đơn COD khi tăng số lượng 1 dịch vụ lên nhiều hơn 1</t>
  </si>
  <si>
    <t>Khách đã chọn dịch vụ cho phép chọn số lượng</t>
  </si>
  <si>
    <t>1. Ở màn đặt lịch, tăng số lượng lên 3.
2. Kiểm tra tổng tiền tạm tính.
3. Chọn COD &gt; Xác nhận đặt đơn.</t>
  </si>
  <si>
    <t>SL: 3; payment_method: cod</t>
  </si>
  <si>
    <t>Tổng tiền tạm tính và total_amount của đơn bằng đơn giá × 3; đơn ở trạng thái pending_confirm.</t>
  </si>
  <si>
    <t>Đặt đơn COD với nhiều dịch vụ trong cùng một đơn</t>
  </si>
  <si>
    <t>Khách đã thêm từ 2 dịch vụ trở lên vào đơn</t>
  </si>
  <si>
    <t>1. Chọn dịch vụ A và dịch vụ B.
2. Chọn địa chỉ, ngày giờ hẹn.
3. Chọn COD &gt; Xác nhận đặt đơn.</t>
  </si>
  <si>
    <t>2 dịch vụ khác nhau; payment_method: cod</t>
  </si>
  <si>
    <t>Đơn có đủ 2 dòng dịch vụ, total_amount bằng tổng thành tiền các dòng, orders.status='pending_confirm'.</t>
  </si>
  <si>
    <t>Đặt đơn COD với khung giờ hẹn hợp lệ trong tương lai</t>
  </si>
  <si>
    <t>Khách đang ở bước chọn ngày giờ hẹn</t>
  </si>
  <si>
    <t>1. Chọn ngày mai và một khung giờ còn trống.
2. Chọn COD &gt; Xác nhận đặt đơn.
3. Mở chi tiết đơn vừa tạo.</t>
  </si>
  <si>
    <t>Ngày hẹn: ngày mai; Giờ hẹn: 09:00</t>
  </si>
  <si>
    <t>Đơn lưu đúng ngày giờ hẹn và hiển thị đúng ở chi tiết đơn (App khách và Web Admin).</t>
  </si>
  <si>
    <t>Chặn chọn ngày giờ hẹn trong quá khứ</t>
  </si>
  <si>
    <t>1. Cố chọn ngày đã qua hoặc giờ đã qua trong ngày hôm nay.
2. Bấm Xác nhận đặt đơn.</t>
  </si>
  <si>
    <t>Ngày hẹn: hôm qua</t>
  </si>
  <si>
    <t>Không cho chọn mốc thời gian trong quá khứ (ô bị vô hiệu hoặc báo lỗi), không tạo đơn.</t>
  </si>
  <si>
    <t>Chặn đặt đơn COD khi chưa chọn địa chỉ</t>
  </si>
  <si>
    <t>Khách đã chọn dịch vụ, chưa chọn địa chỉ</t>
  </si>
  <si>
    <t>1. Chọn ngày giờ hẹn, chọn COD.
2. Bấm Xác nhận đặt đơn khi chưa có địa chỉ.</t>
  </si>
  <si>
    <t>Địa chỉ: để trống</t>
  </si>
  <si>
    <t>Vô hiệu hoá nút "Tiếp theo" để đặt lịch</t>
  </si>
  <si>
    <t>Chặn đặt đơn COD khi chưa chọn ngày giờ hẹn</t>
  </si>
  <si>
    <t>Khách đã chọn dịch vụ và địa chỉ</t>
  </si>
  <si>
    <t>1. Chọn COD.
2. Bấm Xác nhận đặt đơn khi chưa chọn ngày giờ.</t>
  </si>
  <si>
    <t>Ngày giờ hẹn: để trống</t>
  </si>
  <si>
    <t>Đặt đơn COD với địa chỉ đã lưu trong sổ địa chỉ</t>
  </si>
  <si>
    <t>Khách có ít nhất 2 địa chỉ đã lưu</t>
  </si>
  <si>
    <t>1. Ở bước địa chỉ, chọn địa chỉ thứ 2 trong sổ địa chỉ.
2. Chọn giờ hẹn, COD &gt; Xác nhận đặt đơn.</t>
  </si>
  <si>
    <t>Địa chỉ đã lưu số 2</t>
  </si>
  <si>
    <t>Đơn lưu đúng địa chỉ đã chọn, hiển thị khớp ở chi tiết đơn và ticket.</t>
  </si>
  <si>
    <t>Thêm địa chỉ mới ngay ở bước đặt đơn rồi đặt COD</t>
  </si>
  <si>
    <t>Khách đang ở bước chọn địa chỉ</t>
  </si>
  <si>
    <t>1. Bấm Thêm địa chỉ mới, nhập đầy đủ thông tin &gt; Lưu.
2. Chọn địa chỉ vừa thêm.
3. Chọn COD &gt; Xác nhận đặt đơn.</t>
  </si>
  <si>
    <t>Địa chỉ mới hợp lệ</t>
  </si>
  <si>
    <t>Địa chỉ mới được lưu vào sổ địa chỉ và gắn vào đơn; đơn tạo thành công ở pending_confirm.</t>
  </si>
  <si>
    <t>Bấm đúp nút Xác nhận đặt đơn chỉ tạo 1 đơn</t>
  </si>
  <si>
    <t>Khách đã điền đầy đủ thông tin, chọn COD</t>
  </si>
  <si>
    <t>1. Bấm nhanh 2 lần liên tiếp nút Xác nhận đặt đơn.
2. Vào Lịch sử đơn hàng kiểm tra.</t>
  </si>
  <si>
    <t>payment_method: cod</t>
  </si>
  <si>
    <t>Chỉ có 1 đơn được tạo, không phát sinh đơn trùng.</t>
  </si>
  <si>
    <t>Mất kết nối mạng khi bấm Xác nhận đặt đơn COD</t>
  </si>
  <si>
    <t>1. Tắt mạng trên thiết bị.
2. Bấm Xác nhận đặt đơn.
3. Bật lại mạng, kiểm tra Lịch sử đơn hàng.</t>
  </si>
  <si>
    <t>Mất mạng</t>
  </si>
  <si>
    <t>Hiển thị thông báo lỗi "Không thể kết nối với máy chủ. Vui lòng kiểm tra mạng và thử lại", không tạo đơn ngoài ý muốn; khách có thể thử lại sau khi có mạng.</t>
  </si>
  <si>
    <t>Chi tiết đơn COD hiển thị đầy đủ thông tin cho khách</t>
  </si>
  <si>
    <t>Khách có đơn COD vừa tạo</t>
  </si>
  <si>
    <t>1. Vào Hoạt động &gt; Chọn đơn COD vừa tạo.</t>
  </si>
  <si>
    <t>Đơn COD</t>
  </si>
  <si>
    <t>Chi tiết đơn hiển thị mã đơn, dịch vụ, giá, địa chỉ, ngày giờ hẹn, phương thức COD, trạng thái.</t>
  </si>
  <si>
    <t>Khách hủy đơn COD ở pending_confirm không phát sinh hoàn tiền</t>
  </si>
  <si>
    <t>Đơn COD ở pending_confirm, payment_status='unpaid'</t>
  </si>
  <si>
    <t>1. Vào Hoạt động &gt; Bấm "Hủy lịch" đơn đã đặt.
2. Xác nhận hủy.</t>
  </si>
  <si>
    <t>Đơn COD pending_confirm</t>
  </si>
  <si>
    <t>orders.status chuyển cancelled, không tạo giao dịch hoàn tiền, payment_status giữ 'unpaid'.</t>
  </si>
  <si>
    <t>Đặt nhiều đơn COD liên tiếp cùng một dịch vụ</t>
  </si>
  <si>
    <t>Khách đã đăng nhập</t>
  </si>
  <si>
    <t>1. Đặt đơn COD dịch vụ X lần 1.
2. Đặt tiếp đơn COD dịch vụ X lần 2.</t>
  </si>
  <si>
    <t>Cùng dịch vụ, 2 lần đặt</t>
  </si>
  <si>
    <t>Tạo 2 đơn độc lập với mã đơn khác nhau, cùng ở pending_confirm.</t>
  </si>
  <si>
    <t>Mã đơn hàng được sinh duy nhất và hiển thị đồng nhất</t>
  </si>
  <si>
    <t>Khách vừa tạo đơn COD</t>
  </si>
  <si>
    <t>1. Ghi nhận mã đơn ở App khách.
2. Tìm mã đơn đó trên Web Admin.</t>
  </si>
  <si>
    <t>Mã đơn vừa tạo</t>
  </si>
  <si>
    <t>Mã đơn không trùng với đơn khác và hiển thị giống nhau ở App khách và Web Admin.</t>
  </si>
  <si>
    <t>Thời gian tạo đơn hiển thị đúng múi giờ GMT+7</t>
  </si>
  <si>
    <t>1. So sánh thời gian tạo đơn ở App khách và Web Admin với giờ thực tế.</t>
  </si>
  <si>
    <t>Thời gian tạo đơn khớp giờ thực tế theo múi giờ GMT+7 ở cả hai nơi.</t>
  </si>
  <si>
    <t>Định dạng tiền VNĐ hiển thị đúng ở màn xác nhận và chi tiết đơn</t>
  </si>
  <si>
    <t>Khách đã chọn dịch vụ có giá từ hàng trăm nghìn</t>
  </si>
  <si>
    <t>1. Xem màn xác nhận đơn.
2. Xem chi tiết đơn sau khi tạo.</t>
  </si>
  <si>
    <t>Giá dịch vụ: 350.000đ</t>
  </si>
  <si>
    <t>Tiền hiển thị có phân cách hàng nghìn và đơn vị đ, giá trị khớp giữa các màn hình.</t>
  </si>
  <si>
    <t>Admin xem chi tiết đơn COD đầy đủ thông tin trước khi duyệt</t>
  </si>
  <si>
    <t>Đơn COD đang ở pending_confirm</t>
  </si>
  <si>
    <t>1. Bấm vào 1 đơn có trạng thái Chưa xác nhận.</t>
  </si>
  <si>
    <t>Chi tiết hiển thị đủ thông tin khách, dịch vụ, địa chỉ, giờ hẹn, ghi chú, ảnh đính kèm, voucher, tổng tiền.</t>
  </si>
  <si>
    <t>Bấm Xác nhận đơn 2 lần liên tiếp chỉ sinh 1 ticket</t>
  </si>
  <si>
    <t>1. Bấm nhanh 2 lần nút Xác nhận đơn.
2. Vào màn Nhiệm vụ kiểm tra.</t>
  </si>
  <si>
    <t>Chỉ có 1 bản ghi ticket được tạo cho đơn, không sinh ticket trùng.</t>
  </si>
  <si>
    <t>Ticket được sinh ra kế thừa đúng thông tin từ đơn</t>
  </si>
  <si>
    <t>Admin vừa xác nhận đơn COD có ghi chú và ảnh đính kèm</t>
  </si>
  <si>
    <t>1. Vào Nhiệm vụ &gt; Mở ticket vừa sinh.</t>
  </si>
  <si>
    <t>Đơn có customer_note và ảnh</t>
  </si>
  <si>
    <t>Ticket có đúng dịch vụ, địa chỉ, ngày giờ hẹn, ghi chú và ảnh của đơn gốc.</t>
  </si>
  <si>
    <t>Ticket mới xuất hiện ở màn Nhiệm vụ với trạng thái unassigned</t>
  </si>
  <si>
    <t>Admin vừa xác nhận đơn COD</t>
  </si>
  <si>
    <t>1. Vào màn Nhiệm vụ.</t>
  </si>
  <si>
    <t>Ticket mới</t>
  </si>
  <si>
    <t>Ticket hiển thị ở nhóm chưa gán (unassigned) và sẵn sàng để gán thợ.</t>
  </si>
  <si>
    <t>Chặn Admin hủy đơn khi không nhập lý do</t>
  </si>
  <si>
    <t>1. Bấm Từ chối/Hủy đơn.
2. Để trống lý do &gt; Xác nhận.</t>
  </si>
  <si>
    <t>Lý do: để trống</t>
  </si>
  <si>
    <t>Hệ thống yêu cầu nhập lý do, đơn giữ nguyên pending_confirm.</t>
  </si>
  <si>
    <t>Tìm đơn hàng theo mã đơn</t>
  </si>
  <si>
    <t>Có nhiều đơn trong hệ thống</t>
  </si>
  <si>
    <t>1. Nhập mã đơn vào ô tìm kiếm.
2. Nhấn Enter.</t>
  </si>
  <si>
    <t>Chỉ hiển thị đơn có mã khớp; nhập mã không tồn tại hiển thị danh sách rỗng.</t>
  </si>
  <si>
    <t>Tìm đơn hàng theo số điện thoại khách</t>
  </si>
  <si>
    <t>Có nhiều đơn của các khách khác nhau</t>
  </si>
  <si>
    <t>1. Nhập SĐT khách vào ô tìm kiếm.
2. Nhấn Enter.</t>
  </si>
  <si>
    <t>SĐT khách có đơn</t>
  </si>
  <si>
    <t>Hiển thị đúng các đơn của khách có SĐT đó.</t>
  </si>
  <si>
    <t>Đặt đơn chọn thanh toán COD thành công</t>
  </si>
  <si>
    <t>Khách hàng đã chọn dịch vụ và địa chỉ</t>
  </si>
  <si>
    <t>1. Chọn ngày, giờ hẹn.
2. Chọn phương thức COD.
3. Bấm Xác nhận đặt đơn.</t>
  </si>
  <si>
    <t>Đơn hàng tạo thành công với orders.status='pending_confirm', payment_status='unpaid', không qua pending_payment.</t>
  </si>
  <si>
    <t>Chọn phương thức thanh toán ZaloPay (Online) và tạo đơn</t>
  </si>
  <si>
    <t>Đang ở bước chọn phương thức thanh toán</t>
  </si>
  <si>
    <t>1. Chọn phương thức ZaloPay
2. Bấm tạo đơn
3. Chuyển sang cổng thanh toán</t>
  </si>
  <si>
    <t>payment_method: zalopay</t>
  </si>
  <si>
    <t>Đơn hàng được tạo với orders.status='pending_payment', payment_status='unpaid'; chuyển hướng khách sang cổng ZaloPay để thanh toán</t>
  </si>
  <si>
    <t>Đơn thanh toán online quá 15 phút chưa thanh toán (Payment Timeout)</t>
  </si>
  <si>
    <t>Đơn tạo chọn ZaloPay đang ở pending_payment</t>
  </si>
  <si>
    <t>Không hoàn tất thanh toán trên cổng, chờ quá 15 phút.</t>
  </si>
  <si>
    <t>Thời gian &gt; 15 phút</t>
  </si>
  <si>
    <t>Hệ thống tự động chuyển orders.status='cancelled' với lý do "Quá thời hạn thanh toán", actor_role='system'.</t>
  </si>
  <si>
    <t>Admin duyệt đơn hàng Chưa xác nhận</t>
  </si>
  <si>
    <t>Đơn hàng đang ở pending_confirm</t>
  </si>
  <si>
    <t>1. Admin vào Quản lý đơn hàng &gt; Chờ xác nhận.
2. Kiểm tra thông tin đơn.
3. Bấm Xác nhận đơn.</t>
  </si>
  <si>
    <t>Đơn pending_confirm</t>
  </si>
  <si>
    <t>orders.status chuyển thành confirmed, tự động sinh 1 bản ghi tickets(status='unassigned').</t>
  </si>
  <si>
    <t>Admin từ chối/hủy đơn đã thanh toán online ở pending_confirm</t>
  </si>
  <si>
    <t>Đơn đã trả online (payment_status='paid')</t>
  </si>
  <si>
    <t>1. Mở chi tiết đơn pending_confirm.
2. Bấm Hủy đơn.
3. Nhập lý do hủy &gt; Xác nhận.</t>
  </si>
  <si>
    <t>Lý do: "Khu vực không phục vụ"</t>
  </si>
  <si>
    <t>orders.status chuyển cancelled, hệ thống tự động kích hoạt lệnh hoàn tiền 100% qua ZaloPay (payment_status='refunded').</t>
  </si>
  <si>
    <t>Khách hàng tự hủy đơn khi đang ở pending_confirm</t>
  </si>
  <si>
    <t>Đơn hàng đang ở trạng thái pending_confirm</t>
  </si>
  <si>
    <t>1. Khách vào chi tiết đơn hàng.
2. Bấm Hủy đơn.
3. Chọn lý do và xác nhận hủy.</t>
  </si>
  <si>
    <t>Lý do hủy hợp lệ</t>
  </si>
  <si>
    <t>Đơn chuyển orders.status='cancelled', hủy ticket liên quan (nếu có).</t>
  </si>
  <si>
    <t>Nhập ghi chú tùy chọn (customer_note)</t>
  </si>
  <si>
    <t>Đang ở bước điền thông tin đặt lịch</t>
  </si>
  <si>
    <t>1. Nhập nội dung vào ô ghi chú
2. Tiếp tục tạo đơn</t>
  </si>
  <si>
    <t>Ghi chú: 'Máy lạnh kêu to khi chạy'</t>
  </si>
  <si>
    <t>Ghi chú được lưu đúng vào đơn hàng (customer_note); trường này không bắt buộc nên để trống vẫn tạo đơn được</t>
  </si>
  <si>
    <t>Đính kèm ảnh lỗi thiết bị hợp lệ (tối đa 5 ảnh)</t>
  </si>
  <si>
    <t>1. Đính kèm 5 ảnh mô tả lỗi thiết bị
2. Tiếp tục tạo đơn</t>
  </si>
  <si>
    <t>5 ảnh JPG/PNG hợp lệ</t>
  </si>
  <si>
    <t>Hệ thống chấp nhận, lưu đủ 5 ảnh vào attached_images của đơn hàng</t>
  </si>
  <si>
    <t>Nghiệm thu hoàn tất đơn hàng thanh toán COD</t>
  </si>
  <si>
    <t>Thợ đã sửa xong, đơn chọn COD</t>
  </si>
  <si>
    <t>1. Thợ bấm Yêu cầu nghiệm thu.
2. Thợ tích chọn Đã thu đủ tiền mặt.
3. Admin kiểm tra và bấm Xác nhận hoàn thành.</t>
  </si>
  <si>
    <t>Thu đủ 100% total_amount</t>
  </si>
  <si>
    <t>orders.status chuyển completed, payment_status='paid'. Không cho bấm hoàn tất nếu chưa thu đủ tiền.</t>
  </si>
  <si>
    <t>Áp dụng mã Voucher hợp lệ</t>
  </si>
  <si>
    <t>Tồn tại voucher hợp lệ, còn hiệu lực, đủ điều kiện áp dụng</t>
  </si>
  <si>
    <t>1. Ở bước áp Voucher, nhập/chọn mã voucher hợp lệ
2. Xác nhận áp dụng</t>
  </si>
  <si>
    <t>Voucher: 'Giảm 20%'</t>
  </si>
  <si>
    <t>Backend lưu voucher_code, tính lại discount_amount và total_amount chính xác theo giá trị voucher</t>
  </si>
  <si>
    <t>Áp dụng mã Voucher không hợp lệ hoặc đã hết hạn</t>
  </si>
  <si>
    <t>Voucher không tồn tại hoặc đã hết hạn sử dụng</t>
  </si>
  <si>
    <t>1. Nhập mã voucher không hợp lệ/hết hạn
2. Xác nhận áp dụng</t>
  </si>
  <si>
    <t>Voucher: 'HETHAN'</t>
  </si>
  <si>
    <t>Hệ thống báo không có voucher</t>
  </si>
  <si>
    <t>Admin hủy đơn đã thanh toán online (paid) -&gt; tự động hoàn tiền 100%</t>
  </si>
  <si>
    <t>Đơn đang pending_confirm với payment_status='paid' (đã thanh toán online)</t>
  </si>
  <si>
    <t>1. Admin bấm 'Hủy đơn', nhập lý do
2. Xác nhận</t>
  </si>
  <si>
    <t>payment_status trước khi hủy: paid</t>
  </si>
  <si>
    <t>orders.status='cancelled'; hệ thống tự động tạo lệnh hoàn tiền 100% cho khách; payment_status chuyển 'refunded'</t>
  </si>
  <si>
    <t>Thợ bấm 'Yêu cầu nghiệm thu' sau khi sửa chữa xong</t>
  </si>
  <si>
    <t>Thợ đang thực hiện Ticket, đã hoàn tất công việc sửa chữa</t>
  </si>
  <si>
    <t>1. Thợ bấm 'Yêu cầu nghiệm thu'</t>
  </si>
  <si>
    <t>Hệ thống ghi nhận yêu cầu nghiệm thu</t>
  </si>
  <si>
    <t>Kiểm tra công thức tính total_amount</t>
  </si>
  <si>
    <t>Đơn hàng có subtotal_amount, discount_amount, additional_fee cụ thể</t>
  </si>
  <si>
    <t>1. Tạo đơn với subtotal_amount, áp voucher (discount_amount) và additional_fee (nếu có)
2. Kiểm tra total_amount trả về</t>
  </si>
  <si>
    <t>subtotal: 400.000; discount: 20%; additional_fee: 10%</t>
  </si>
  <si>
    <t>total_amount = subtotal_amount - discount_amount + additional_fee = 400.000 - (400.000 x 20%) + (400.000 x 10%) = 360.000</t>
  </si>
  <si>
    <t>Khách hàng nhận Push khi tạo đơn thành công (pending_confirm)</t>
  </si>
  <si>
    <t>Khách vừa hoàn tất tạo đơn (COD hoặc thanh toán online thành công)</t>
  </si>
  <si>
    <t>1. Tạo đơn thành công
2. Kiểm tra Push App trên điện thoại khách</t>
  </si>
  <si>
    <t>Khách nhận Push: 'Đơn hàng #[Mã_Đơn] đã được gửi thành công và đang chờ ban quản trị xác nhận.'</t>
  </si>
  <si>
    <t>Admin nhận Web Notification khi có đơn hàng mới cần duyệt</t>
  </si>
  <si>
    <t>Đơn vừa chuyển sang trạng thái pending_confirm</t>
  </si>
  <si>
    <t>1. Đơn hàng mới chuyển pending_confirm
2. Kiểm tra Web Notification trên Admin Portal</t>
  </si>
  <si>
    <t>Admin nhận thông báo: 'Có 01 đơn hàng mới #[Mã_Đơn] tại [Quận/Huyện] đang chờ xác nhận.'</t>
  </si>
  <si>
    <t>Khách hàng nhận Push khi Admin xác nhận đơn (confirmed)</t>
  </si>
  <si>
    <t>Admin vừa bấm 'Xác nhận' cho 1 đơn hàng</t>
  </si>
  <si>
    <t>1. Admin xác nhận đơn
2. Kiểm tra Push App trên điện thoại khách</t>
  </si>
  <si>
    <t>Khách nhận Push: 'Đơn hàng #[Mã_Đơn] của bạn đã được xác nhận. Kỹ thuật viên sẽ sớm được phân bổ.'</t>
  </si>
  <si>
    <t>Khách hàng nhận Push khi đơn hàng bị hủy (cancelled)</t>
  </si>
  <si>
    <t>Đơn hàng vừa bị hủy (do khách, Admin hoặc hệ thống tự huỷ)</t>
  </si>
  <si>
    <t>1. Đơn hàng chuyển sang trạng thái cancelled
2. Kiểm tra Push App/SMS trên điện thoại khách</t>
  </si>
  <si>
    <t>Lý do hủy: 'Quá thời hạn thanh toán'</t>
  </si>
  <si>
    <t>Khách nhận Push/SMS: 'Đơn hàng #[Mã_Đơn] đã bị hủy. Lý do: [Lý do hủy].'</t>
  </si>
  <si>
    <t>Thợ tạo yêu cầu thêm dịch vụ (OCR ADD) khi ticket đang in_progress</t>
  </si>
  <si>
    <t>Ticket đang ở trạng thái in_progress</t>
  </si>
  <si>
    <t>1. Thợ mở màn hình "Thêm dịch vụ phát sinh".
2. Chọn dịch vụ từ danh mục, chụp ảnh lỗi.
3. Bấm Gửi yêu cầu cho khách.</t>
  </si>
  <si>
    <t>Dịch vụ trong danh mục, giá 150.000đ</t>
  </si>
  <si>
    <t>Tạo bản ghi order_change_requests(type='ADD', status='pending'). Khách nhận Push yêu cầu duyệt.</t>
  </si>
  <si>
    <t>Chặn thợ tạo OCR khi ticket chưa checked_in</t>
  </si>
  <si>
    <t>Ticket đang ở trạng thái accepted hoặc en_route</t>
  </si>
  <si>
    <t>Thợ mở màn hình chi tiết công việc.</t>
  </si>
  <si>
    <t>Ticket chưa checked_in</t>
  </si>
  <si>
    <t>Nút "Thêm dịch vụ phát sinh" bị ẩn, thợ không thể tạo OCR trước khi đến nhà khách.</t>
  </si>
  <si>
    <t>Khách duyệt OCR ADD và chọn thanh toán bằng ZaloPay</t>
  </si>
  <si>
    <t>Khách nhận được yêu cầu OCR ADD</t>
  </si>
  <si>
    <t>1. Mở chi tiết OCR.
2. Chọn PTTT ZaloPay.
3. Bấm Đồng ý &gt; Thanh toán qua ZaloPay.
4. Webhook báo thành công.</t>
  </si>
  <si>
    <t>Số tiền phát sinh: 150.000đ</t>
  </si>
  <si>
    <t>Settlement ZaloPay thành công, hạng mục chuyển active, cộng dồn vào total_amount đơn hàng, push cho thợ thực hiện.</t>
  </si>
  <si>
    <t>Khách duyệt OCR ADD và chọn thanh toán bằng COD</t>
  </si>
  <si>
    <t>1. Mở chi tiết OCR.
2. Chọn PTTT COD.
3. Bấm Đồng ý xác nhận.</t>
  </si>
  <si>
    <t>Số tiền: 100.000đ</t>
  </si>
  <si>
    <t>Hạng mục chuyển active, total_amount tăng thêm 100.000đ, không trừ tiền ngay mà cộng vào khoản COD cần thu cuối buổi.</t>
  </si>
  <si>
    <t>Khách yêu cầu giảm bớt dịch vụ (OCR REMOVE) cho đơn đã trả online</t>
  </si>
  <si>
    <t>Ticket đang in_progress, dịch vụ chưa thực hiện</t>
  </si>
  <si>
    <t>1. Khách chọn bỏ hạng mục chưa sửa.
2. Thợ xác nhận chưa thực hiện.
3. Hệ thống xử lý hoàn tiền ZaloPay.</t>
  </si>
  <si>
    <t>Hạng mục trị giá 200.000đ</t>
  </si>
  <si>
    <t>Kích hoạt API refund ZaloPay 200.000đ, webhook thành công chuyển item sang removed, giảm total_amount.</t>
  </si>
  <si>
    <t>OCR hết hạn do khách không phản hồi trong thời gian quy định</t>
  </si>
  <si>
    <t>Thợ đã gửi OCR ADD nhưng khách không thao tác</t>
  </si>
  <si>
    <t>Để OCR ở trạng thái pending quá thời gian timeout (15-30 phút).</t>
  </si>
  <si>
    <t>OCR đang pending</t>
  </si>
  <si>
    <t>order_change_requests.status tự động chuyển expired. Hạng mục không được active, thợ nhận thông báo hết hạn.</t>
  </si>
  <si>
    <t>Thợ chọn dịch vụ phát sinh từ danh mục có sẵn</t>
  </si>
  <si>
    <t>Ticket đang checked_in</t>
  </si>
  <si>
    <t>1. Mở màn 'Thêm dịch vụ phát sinh'
2. Chọn 1 dịch vụ từ danh mục hệ thống</t>
  </si>
  <si>
    <t>Dịch vụ: 'Thay gas máy lạnh'</t>
  </si>
  <si>
    <t>Dịch vụ được thêm vào danh sách đề xuất, hiển thị đúng tên và giá theo hệ thống</t>
  </si>
  <si>
    <t>Thợ nhập mô tả tự do + báo giá cho dịch vụ ngoài danh mục</t>
  </si>
  <si>
    <t>Ticket đang checked_in; dịch vụ cần thêm không có trong danh mục</t>
  </si>
  <si>
    <t>1. Chọn 'Nhập dịch vụ tự do'
2. Nhập mô tả và báo giá</t>
  </si>
  <si>
    <t>Mô tả: 'Sửa ống dẫn nước bị rò rỉ khu vực khác'; Giá: 250.000đ</t>
  </si>
  <si>
    <t>Hệ thống ghi nhận yêu cầu với mô tả tự do; và gửi admin duyệt trước khi gửi khách</t>
  </si>
  <si>
    <t>Thợ đính kèm ảnh minh chứng cho dịch vụ phát sinh</t>
  </si>
  <si>
    <t>Đang tạo yêu cầu dịch vụ phát sinh</t>
  </si>
  <si>
    <t>1. Chụp/chọn ảnh hiện trạng cần sửa thêm
2. Đính kèm vào yêu cầu</t>
  </si>
  <si>
    <t>1-3 ảnh minh chứng</t>
  </si>
  <si>
    <t>Ảnh được lưu kèm theo OCR, hiển thị được cho khách và Admin xem</t>
  </si>
  <si>
    <t>Thợ bấm 'Gửi yêu cầu cho khách' để tạo OCR</t>
  </si>
  <si>
    <t>Đã chọn dịch vụ/nhập giá phát sinh hợp lệ</t>
  </si>
  <si>
    <t>1. Bấm 'Gửi yêu cầu cho khách'</t>
  </si>
  <si>
    <t>Tạo order_change_request (order_id, ticket_id, type='ADD', status='pending')</t>
  </si>
  <si>
    <t>Màn hình thợ hiển thị trạng thái 'Đang chờ khách xác nhận'</t>
  </si>
  <si>
    <t>OCR vừa được gửi, status='pending'</t>
  </si>
  <si>
    <t>1. Quan sát màn hình thợ sau khi gửi yêu cầu</t>
  </si>
  <si>
    <t>Hiển thị trạng thái 'Đang chờ khách xác nhận'</t>
  </si>
  <si>
    <t>Thợ không được tiến hành phần việc phát sinh khi OCR đang pending</t>
  </si>
  <si>
    <t>OCR đang pending, khách chưa phản hồi</t>
  </si>
  <si>
    <t>1. Thợ thử thực hiện/đánh dấu hoàn thành hạng mục phát sinh khi OCR chưa được duyệt</t>
  </si>
  <si>
    <t>OCR status: pending</t>
  </si>
  <si>
    <t>Hệ thống không cho phép thợ thao tác lên hạng mục phát sinh khi OCR chưa approved</t>
  </si>
  <si>
    <t>Thợ nhận thông báo khi khách đồng ý OCR</t>
  </si>
  <si>
    <t>Khách vừa đồng ý OCR (ADD)</t>
  </si>
  <si>
    <t>1. Khách bấm Đồng ý
2. Kiểm tra thông báo trên App thợ</t>
  </si>
  <si>
    <t>Thợ nhận thông báo kết quả; item mới xuất hiện trong danh sách task và được phép thực hiện</t>
  </si>
  <si>
    <t>Thợ nhận thông báo khi khách Từ chối OCR</t>
  </si>
  <si>
    <t>Khách vừa Từ chối OCR (ADD)</t>
  </si>
  <si>
    <t>1. Khách bấm Từ chối
2. Kiểm tra thông báo trên App thợ</t>
  </si>
  <si>
    <t>Thợ nhận thông báo OCR bị từ chối, không có item mới nào được thêm vào danh sách task</t>
  </si>
  <si>
    <t>Khách nhận Push khi thợ đề xuất thêm dịch vụ</t>
  </si>
  <si>
    <t>Thợ vừa gửi OCR (ADD) cho đơn của khách</t>
  </si>
  <si>
    <t>1. Thợ gửi yêu cầu OCR
2. Kiểm tra Push trên App khách</t>
  </si>
  <si>
    <t>Khách nhận Push: 'Thợ đề xuất thêm dịch vụ cho đơn #...'</t>
  </si>
  <si>
    <t>Khách mở màn chi tiết OCR xem đầy đủ thông tin</t>
  </si>
  <si>
    <t>1. Khách bấm vào thông báo/mở chi tiết OCR</t>
  </si>
  <si>
    <t>Hiển thị đầy đủ: mô tả, ảnh minh chứng, giá từng hạng mục, tổng chênh lệch (delta_amount)</t>
  </si>
  <si>
    <t>Khách chọn phương thức thanh toán mặc định theo đơn gốc</t>
  </si>
  <si>
    <t>Đơn gốc thanh toán COD; đang xem chi tiết OCR</t>
  </si>
  <si>
    <t>1. Quan sát phương thức thanh toán được gợi ý mặc định cho phần phát sinh</t>
  </si>
  <si>
    <t>payment_method_initial: COD</t>
  </si>
  <si>
    <t>Hệ thống mặc định gợi ý phương thức thanh toán theo đơn gốc (COD), khách có thể đổi khác</t>
  </si>
  <si>
    <t>Khách đổi phương thức thanh toán khác với đơn gốc (mix)</t>
  </si>
  <si>
    <t>Đơn gốc COD; đang xem chi tiết OCR</t>
  </si>
  <si>
    <t>1. Ở bước chọn PTTT cho OCR, đổi từ COD sang ZaloPay</t>
  </si>
  <si>
    <t>Chọn: ZaloPay</t>
  </si>
  <si>
    <t>Hệ thống chấp nhận, cho phép chọn PTTT độc lập với đơn gốc</t>
  </si>
  <si>
    <t>Khách bấm Đồng ý + chọn ZaloPay</t>
  </si>
  <si>
    <t>1. Bấm 'Đồng ý'
2. Chọn ZaloPay
3. Xác nhận</t>
  </si>
  <si>
    <t>PTTT: ZaloPay</t>
  </si>
  <si>
    <t>Hệ thống mở màn thanh toán ZaloPay ngay để giữ tiền trước khi item được active</t>
  </si>
  <si>
    <t>Khách bấm Đồng ý + chọn COD</t>
  </si>
  <si>
    <t>1. Bấm 'Đồng ý'
2. Chọn COD
3. Xác nhận</t>
  </si>
  <si>
    <t>PTTT: COD</t>
  </si>
  <si>
    <t>Hệ thống chỉ xác nhận, không yêu cầu thanh toán ngay; tiền sẽ được cộng vào cuối buổi</t>
  </si>
  <si>
    <t>Khách bấm Từ chối OCR</t>
  </si>
  <si>
    <t>1. Bấm 'Từ chối'
2. Xác nhận</t>
  </si>
  <si>
    <t>OCR chuyển status='rejected'; không có thay đổi nào lên order_items và total_amount</t>
  </si>
  <si>
    <t>Admin duyệt giá dịch vụ nhập tự do -&gt; gửi khách</t>
  </si>
  <si>
    <t>OCR đang ở pending_admin_review</t>
  </si>
  <si>
    <t>1. Admin xem chi tiết OCR
2. Bấm 'Duyệt'</t>
  </si>
  <si>
    <t>OCR chuyển status='pending', gửi Push cho khách; hệ thống log lại người duyệt và thời gian</t>
  </si>
  <si>
    <t>Admin từ chối giá dịch vụ nhập tự do</t>
  </si>
  <si>
    <t>1. Admin xem chi tiết OCR
2. Bấm 'Từ chối'</t>
  </si>
  <si>
    <t>OCR không được gửi đến khách; hệ thống ghi nhận từ chối, thông báo cho thợ biết</t>
  </si>
  <si>
    <t>Thợ nạp tiền vào ví qua cổng ZaloPay thành công</t>
  </si>
  <si>
    <t>Ví thợ đang hoạt động (status='active')</t>
  </si>
  <si>
    <t>1. Vào Ví &gt; Nạp tiền &gt; Nhập số tiền.
2. Chọn ZaloPay &gt; Hoàn tất thanh toán.
3. Webhook ZaloPay trả kết quả thành công.</t>
  </si>
  <si>
    <t>Số tiền: 1đ</t>
  </si>
  <si>
    <t>payment_transactions.status='success', tạo transaction type topup, cộng tiền vào wallets.balance và available_balance.</t>
  </si>
  <si>
    <t>Bấm Nạp tiền qua ZaloPay chuyển sang cổng thanh toán</t>
  </si>
  <si>
    <t>Ví thợ đang hoạt động, thợ đã nhập số tiền hợp lệ</t>
  </si>
  <si>
    <t>1. Vào Ví &gt; Nạp tiền &gt; Nhập số tiền.
2. Chọn ZaloPay &gt; Bấm Nạp.</t>
  </si>
  <si>
    <t>App tạo giao dịch và chuyển hướng sang ứng dụng/cổng ZaloPay để thanh toán.</t>
  </si>
  <si>
    <t>Thanh toán thành công trên ZaloPay và quay lại App hiển thị kết quả</t>
  </si>
  <si>
    <t>Thợ đang ở màn thanh toán ZaloPay</t>
  </si>
  <si>
    <t>1. Xác nhận thanh toán trên ZaloPay.
2. Quay lại App thợ.</t>
  </si>
  <si>
    <t>App hiển thị màn nạp tiền thành công với đúng số tiền.</t>
  </si>
  <si>
    <t>Số dư ví được cập nhật đúng sau khi nạp ZaloPay thành công</t>
  </si>
  <si>
    <t>Thợ vừa nạp thành công qua ZaloPay</t>
  </si>
  <si>
    <t>1. Mở màn Ví, so sánh số dư trước và sau khi nạp.</t>
  </si>
  <si>
    <t>Số dư trước: 0đ; Nạp: 100.000đ</t>
  </si>
  <si>
    <t>wallets.balance và available_balance cùng tăng đúng 100.000đ.</t>
  </si>
  <si>
    <t>Lịch sử giao dịch ví hiển thị dòng nạp tiền ZaloPay</t>
  </si>
  <si>
    <t>1. Mở Ví &gt; Lịch sử giao dịch.</t>
  </si>
  <si>
    <t>Giao dịch topup</t>
  </si>
  <si>
    <t>Có dòng giao dịch loại nạp tiền (topup), nguồn ZaloPay, đúng số tiền và trạng thái thành công.</t>
  </si>
  <si>
    <t>Thợ hủy thanh toán tại cổng ZaloPay thì không cộng tiền</t>
  </si>
  <si>
    <t>1. Chọn Hủy giao dịch trên ZaloPay.
2. Quay lại App thợ kiểm tra số dư.</t>
  </si>
  <si>
    <t>Giao dịch không ở trạng thái thành công, số dư ví không thay đổi.</t>
  </si>
  <si>
    <t>Thợ thoát khỏi cổng ZaloPay bằng nút Quay lại thì không cộng tiền</t>
  </si>
  <si>
    <t>1. Bấm nút Back để thoát cổng ZaloPay.
2. Kiểm tra màn Ví.</t>
  </si>
  <si>
    <t>App quay về màn Nạp tiền, số dư không đổi và không có giao dịch thành công.</t>
  </si>
  <si>
    <t>Thanh toán ZaloPay thất bại do không đủ số dư nguồn tiền</t>
  </si>
  <si>
    <t>Tài khoản ZaloPay của thợ không đủ tiền</t>
  </si>
  <si>
    <t>1. Thực hiện thanh toán trên ZaloPay.
2. Quay lại App thợ.</t>
  </si>
  <si>
    <t>Số tiền lớn hơn số dư ZaloPay</t>
  </si>
  <si>
    <t>App báo nạp tiền thất bại, số dư ví không thay đổi.</t>
  </si>
  <si>
    <t>Thợ xem available_balance</t>
  </si>
  <si>
    <t>Thợ đã đăng nhập, có ví đang active với số dư khả dụng</t>
  </si>
  <si>
    <t>1. Vào màn hình Ví
2. Xem available_balance hiển thị</t>
  </si>
  <si>
    <t>Hiển thị đúng available_balance = balance - tổng withdrawal_requests đang pending/processing</t>
  </si>
  <si>
    <t>Webhook ZaloPay gọi lặp lại nhiều lần (Xử lý Idempotency)</t>
  </si>
  <si>
    <t>Đã nhận và xử lý webhook nạp ví lần 1 thành công</t>
  </si>
  <si>
    <t>Gateway gửi lại cùng gateway_transaction_id lần thứ 2.</t>
  </si>
  <si>
    <t>Trùng gateway_transaction_id</t>
  </si>
  <si>
    <t>Backend nhận diện key đã tồn tại, trả về 200 OK, không cộng ví lần thứ hai.</t>
  </si>
  <si>
    <t>Thợ gửi yêu cầu rút tiền hợp lệ</t>
  </si>
  <si>
    <t>available_balance đủ để rút</t>
  </si>
  <si>
    <t>1. Nhập số tiền hợp lệ ≤ available_balance
2. Bấm gửi yêu cầu rút</t>
  </si>
  <si>
    <t>Số tiền rút: 200.000đ</t>
  </si>
  <si>
    <t>Tạo bản ghi withdrawal_requests(status='pending_review'); App hiển thị thông báo: 'Yêu cầu rút 200.000đ đang được xử lý.'</t>
  </si>
  <si>
    <t>Chặn thợ tạo yêu cầu rút ví vượt quá số dư khả dụng (available_balance)</t>
  </si>
  <si>
    <t>Số dư khả dụng nhỏ hơn số tiền muốn rút</t>
  </si>
  <si>
    <t>1. Vào màn hình Rút tiền.
2. Nhập số tiền lớn hơn available_balance.
3. Bấm Xác nhận rút.</t>
  </si>
  <si>
    <t>Available: 200.000đRút: 300.000đ</t>
  </si>
  <si>
    <t>Chặn ngay tại Client/Server, báo lỗi số dư khả dụng không đủ để tạo yêu cầu rút.</t>
  </si>
  <si>
    <t>Admin xem chi tiết yêu cầu rút ví</t>
  </si>
  <si>
    <t>Admin/Kế toán đã đăng nhập Web Admin; tồn tại yêu cầu rút status='pending_review'</t>
  </si>
  <si>
    <t>1. Vào mục 'Yêu cầu rút ví'
2. Mở chi tiết 1 yêu cầu</t>
  </si>
  <si>
    <t>Hiển thị đầy đủ thông tin: thợ yêu cầu, số tiền, zalopay_account_snapshot (SĐT ZaloPay, tên chủ tài khoản)</t>
  </si>
  <si>
    <t>Admin duyệt yêu cầu rút tiền của thợ thành công</t>
  </si>
  <si>
    <t>Thợ đã tạo yêu cầu rút ví hợp lệ (pending_review)</t>
  </si>
  <si>
    <t>1. Admin vào Yêu cầu rút ví &gt; Xem chi tiết.
2. Bấm Duyệt.
3. Hệ thống gửi lệnh chuyển tiền và báo thành công.</t>
  </si>
  <si>
    <t>withdrawal_requests.status chuyển approved &gt; processing &gt; completed. Trừ chính thức vào wallets.balance.</t>
  </si>
  <si>
    <t>Admin từ chối yêu cầu rút ví kèm lý do</t>
  </si>
  <si>
    <t>Yêu cầu rút đang ở status='pending_review'</t>
  </si>
  <si>
    <t>1. Bấm 'Từ chối'
2. Nhập lý do từ chối
3. Xác nhận</t>
  </si>
  <si>
    <t>Lý do: 'Thông tin tài khoản ZaloPay không khớp'</t>
  </si>
  <si>
    <t>withdrawal_requests.status chuyển 'rejected', lưu reject_reason; hệ thống hoàn lại available_balance đã trừ trước đó cho ví</t>
  </si>
  <si>
    <t>Admin từ chối yêu cầu rút ví không nhập lý do</t>
  </si>
  <si>
    <t>1. Bấm 'Từ chối'
2. Không nhập lý do
3. Bấm xác nhận</t>
  </si>
  <si>
    <t>Lý do: (trống)</t>
  </si>
  <si>
    <t>Hệ thống báo lỗi bắt buộc nhập lý do khi từ chối, không cho xác nhận</t>
  </si>
  <si>
    <t>Danh sách ví thợ hiển thị đầy đủ thông tin số dư</t>
  </si>
  <si>
    <t>Admin có quyền quản lý ví, đã có ví thợ trong hệ thống</t>
  </si>
  <si>
    <t>1. Vào Web Admin &gt; Quản lý ví.</t>
  </si>
  <si>
    <t>Danh sách ví thợ</t>
  </si>
  <si>
    <t>Mỗi dòng hiển thị tên thợ, SĐT, balance, available_balance và trạng thái ví.</t>
  </si>
  <si>
    <t>Tìm ví thợ theo tên hoặc số điện thoại</t>
  </si>
  <si>
    <t>Có nhiều ví thợ</t>
  </si>
  <si>
    <t>1. Nhập tên hoặc SĐT thợ vào ô tìm kiếm.</t>
  </si>
  <si>
    <t>Từ khóa: tên/SĐT thợ</t>
  </si>
  <si>
    <t>Chỉ hiển thị ví của thợ khớp từ khóa.</t>
  </si>
  <si>
    <t>Admin nạp tiền ký quỹ thủ công cho thợ thành công</t>
  </si>
  <si>
    <t>1. Vào chi tiết ví thợ &gt; Bấm Nạp ký quỹ thủ công.
2. Nhập số tiền và ghi chú &gt; Xác nhận.</t>
  </si>
  <si>
    <t>Số tiền: 500.000đ; Ghi chú: Nạp ký quỹ tiền mặt</t>
  </si>
  <si>
    <t>Tạo giao dịch nạp thủ công thành công, cộng đúng số tiền vào wallets.balance và available_balance.</t>
  </si>
  <si>
    <t>Giao dịch nạp thủ công ghi nhận Admin thực hiện và ghi chú</t>
  </si>
  <si>
    <t>Admin vừa nạp ký quỹ thủ công cho thợ</t>
  </si>
  <si>
    <t>1. Mở lịch sử giao dịch của ví thợ.</t>
  </si>
  <si>
    <t>Giao dịch nạp thủ công</t>
  </si>
  <si>
    <t>Giao dịch hiển thị đúng số tiền, thời gian, tên Admin thực hiện và ghi chú.</t>
  </si>
  <si>
    <t>Chặn nạp ký quỹ thủ công với số tiền bằng 0</t>
  </si>
  <si>
    <t>Form nạp ký quỹ thủ công đang mở</t>
  </si>
  <si>
    <t>1. Nhập số tiền 0 &gt; Xác nhận.</t>
  </si>
  <si>
    <t>Số tiền: 0</t>
  </si>
  <si>
    <t>Hệ thống báo số tiền không hợp lệ, không tạo giao dịch, số dư không đổi.</t>
  </si>
  <si>
    <t>Chặn nạp ký quỹ thủ công với số tiền âm</t>
  </si>
  <si>
    <t>1. Nhập số tiền âm &gt; Xác nhận.</t>
  </si>
  <si>
    <t>Số tiền: -100000</t>
  </si>
  <si>
    <t>Chặn nạp ký quỹ thủ công khi số tiền nhập là ký tự không phải số</t>
  </si>
  <si>
    <t>1. Nhập chữ hoặc ký tự đặc biệt vào ô số tiền &gt; Xác nhận.</t>
  </si>
  <si>
    <t>Số tiền: abc@#</t>
  </si>
  <si>
    <t>Ô số tiền không nhận ký tự không hợp lệ hoặc báo lỗi, không tạo giao dịch.</t>
  </si>
  <si>
    <t>Thợ xem số dư mới và lịch sử giao dịch sau khi được nạp thủ công</t>
  </si>
  <si>
    <t>1. Thợ mở App thợ &gt; Ví.</t>
  </si>
  <si>
    <t>Số dư hiển thị đúng sau khi cộng, lịch sử ví có dòng giao dịch nạp thủ công tương ứng.</t>
  </si>
  <si>
    <t>Bấm Xác nhận nạp thủ công 2 lần liên tiếp chỉ cộng tiền 1 lần</t>
  </si>
  <si>
    <t>Popup xác nhận nạp thủ công đang mở</t>
  </si>
  <si>
    <t>1. Bấm nhanh 2 lần nút Xác nhận.
2. Kiểm tra số dư và lịch sử giao dịch.</t>
  </si>
  <si>
    <t>Số tiền: 500.000đ</t>
  </si>
  <si>
    <t>Chỉ có 1 giao dịch được tạo, số dư chỉ tăng đúng 1 lần.</t>
  </si>
  <si>
    <t>Chặn nạp/rút khi ví của thợ đang bị khóa (locked)</t>
  </si>
  <si>
    <t>Ví thợ có status='locked'</t>
  </si>
  <si>
    <t>1. Thợ vào màn hình Ví.
2. Thực hiện thao tác Nạp tiền hoặc Rút tiền.</t>
  </si>
  <si>
    <t>Ví bị locked</t>
  </si>
  <si>
    <t>Hệ thống chặn toàn bộ thao tác nạp/rút, báo lỗi yêu cầu liên hệ Admin.</t>
  </si>
  <si>
    <t>Thợ nhận thông báo kết quả nạp ví thành công và xem số dư mới</t>
  </si>
  <si>
    <t>Giao dịch nạp ví vừa thành công</t>
  </si>
  <si>
    <t>1. Quan sát thông báo và màn hình Ví sau khi nạp thành công</t>
  </si>
  <si>
    <t>Thợ nhận Push thông báo nạp thành công; màn hình Ví hiển thị đúng số dư mới sau khi cộng</t>
  </si>
  <si>
    <t>Nạp ví với số tiền không hợp lệ (0 hoặc âm)</t>
  </si>
  <si>
    <t>Thợ đang ở bước nhập số tiền nạp</t>
  </si>
  <si>
    <t>1. Nhập số tiền = 0 hoặc số âm
2. Bấm tiếp tục</t>
  </si>
  <si>
    <t>Số tiền: 0 hoặc -100.000</t>
  </si>
  <si>
    <t>Hệ thống báo lỗi validate, không cho phép tiếp tục với số tiền không hợp lệ</t>
  </si>
  <si>
    <t>Admin khóa ví của thợ kèm lý do</t>
  </si>
  <si>
    <t>Admin/Kế toán đã đăng nhập; ví của thợ đang active, nghi ngờ gian lận</t>
  </si>
  <si>
    <t>1. Vào chi tiết ví thợ
2. Bấm 'Khóa ví'
3. Nhập locked_reason
4. Xác nhận</t>
  </si>
  <si>
    <t>Lý do: 'Nghi ngờ giao dịch bất thường'</t>
  </si>
  <si>
    <t>wallets.status chuyển 'locked', lưu locked_reason</t>
  </si>
  <si>
    <t>Admin không được phân quyền quản lý ví không thấy chức năng nạp thủ công</t>
  </si>
  <si>
    <t>Đăng nhập bằng vai trò không có quyền quản lý ví</t>
  </si>
  <si>
    <t>1. Vào Web Admin.
2. Tìm mục Quản lý ví và chức năng nạp ký quỹ thủ công.</t>
  </si>
  <si>
    <t>Vai trò không có quyền ví</t>
  </si>
  <si>
    <t>Không hiển thị chức năng nạp ký quỹ thủ công; truy cập trực tiếp bằng đường dẫn bị từ chối.</t>
  </si>
  <si>
    <t>Thợ cố gắng nạp ví khi ví đang bị khóa</t>
  </si>
  <si>
    <t>wallets.status='locked'</t>
  </si>
  <si>
    <t>1. Thợ vào màn hình Ví, bấm 'Nạp tiền'
2. Thử thực hiện giao dịch nạp</t>
  </si>
  <si>
    <t>Hệ thống từ chối thao tác, trả lỗi và yêu cầu liên hệ Admin/Kế toán để mở khóa</t>
  </si>
  <si>
    <t>Thợ cố gắng rút ví khi ví đang bị khóa</t>
  </si>
  <si>
    <t>1. Thợ vào màn hình Ví, bấm 'Rút tiền'
2. Thử gửi yêu cầu rút</t>
  </si>
  <si>
    <t>Admin mở khóa ví -&gt; cho phép thao tác trở lại</t>
  </si>
  <si>
    <t>1. Admin vào chi tiết ví
2. Bấm 'Mở khóa ví'
3. Xác nhận</t>
  </si>
  <si>
    <t>wallets.status chuyển 'active'; thợ có thể nạp/rút/thanh toán bình thường trở lại</t>
  </si>
  <si>
    <t>Thợ nhận Push khi nạp ví thành công</t>
  </si>
  <si>
    <t>Thợ vừa nạp ví thành công qua ZaloPay</t>
  </si>
  <si>
    <t>1. Giao dịch nạp ví thành công
2. Kiểm tra Push App trên điện thoại thợ</t>
  </si>
  <si>
    <t>Số tiền nạp: 1đ</t>
  </si>
  <si>
    <t>Thợ nhận Push: 'Bạn đã nạp thành công 500.000đ vào ví. Số dư hiện tại: [Số dư]đ.'</t>
  </si>
  <si>
    <t>Admin/Kế toán nhận thông báo khi có yêu cầu rút ví mới cần duyệt</t>
  </si>
  <si>
    <t>Thợ vừa tạo yêu cầu rút ví (vượt ngưỡng tự động cần duyệt)</t>
  </si>
  <si>
    <t>1. Thợ gửi yêu cầu rút ví
2. Kiểm tra Web Notification trên Admin Portal</t>
  </si>
  <si>
    <t>Số tiền rút: 1.000.000đ</t>
  </si>
  <si>
    <t>Admin/Kế toán nhận thông báo: 'Thợ [Tên Thợ] vừa yêu cầu rút 1.000.000đ, cần duyệt (vượt ngưỡng tự động).'</t>
  </si>
  <si>
    <t>Thợ nhận Push khi yêu cầu rút ví được duyệt/hoàn tất</t>
  </si>
  <si>
    <t>Yêu cầu rút ví của thợ vừa được duyệt hoặc chuyển sang completed</t>
  </si>
  <si>
    <t>1. Admin duyệt hoặc backend hoàn tất chuyển khoản
2. Kiểm tra Push App trên điện thoại thợ</t>
  </si>
  <si>
    <t>Thợ nhận Push: 'Yêu cầu rút [Số tiền]đ của bạn đã được duyệt và đang xử lý / đã hoàn tất.'</t>
  </si>
  <si>
    <t>Thợ nhận Push khi yêu cầu rút ví bị từ chối kèm lý do</t>
  </si>
  <si>
    <t>Yêu cầu rút ví của thợ vừa bị Admin/Kế toán từ chối</t>
  </si>
  <si>
    <t>1. Admin từ chối yêu cầu, nhập lý do
2. Kiểm tra Push App trên điện thoại thợ</t>
  </si>
  <si>
    <t>Lý do: 'Thông tin tài khoản không khớp'</t>
  </si>
  <si>
    <t>Thợ nhận Push: 'Yêu cầu rút [Số tiền]đ của bạn đã bị từ chối. Lý do: [Lý do].'</t>
  </si>
  <si>
    <t>Khách hàng đánh giá dịch vụ cho đơn hàng đã hoàn tất</t>
  </si>
  <si>
    <t>Đơn hàng có orders.status='completed'</t>
  </si>
  <si>
    <t>1. Khách mở thông báo đánh giá.
2. Chọn số sao, nhập nhận xét, đính kèm 1 ảnh.
3. Bấm Gửi đánh giá.</t>
  </si>
  <si>
    <t>5 saoBình luận: "Thợ làm rất cẩn thận"Ảnh: 1 ảnh</t>
  </si>
  <si>
    <t>Đánh giá lưu thành công (status='visible'), tính lại avg_rating cho thợ và dịch vụ, thợ nhận thông báo có đánh giá mới.</t>
  </si>
  <si>
    <t>Khách gửi đánh giá không nhập bình luận</t>
  </si>
  <si>
    <t>Order Y đã completed, chưa được đánh giá.</t>
  </si>
  <si>
    <t>1. Vào chi tiết đơn hàng Y.
2. Chọn số sao.
3. Bỏ trống ô bình luận.
4. Không đính kèm ảnh.
5. Bấm "Gửi đánh giá".</t>
  </si>
  <si>
    <t>Sao = 4; Comment = (trống); Ảnh = không có</t>
  </si>
  <si>
    <t>Hệ thống chấp nhận và lưu đánh giá thành công dù không có comment/ảnh (vì comment và ảnh là tùy chọn).</t>
  </si>
  <si>
    <t>Khách đính kèm đúng tối đa 3 ảnh cho 1 đánh giá</t>
  </si>
  <si>
    <t>Order Z đã completed, chưa được đánh giá.</t>
  </si>
  <si>
    <t>1. Vào chi tiết đơn hàng Z.
2. Chọn số sao, nhập comment.
3. Đính kèm 3 ảnh.
4. Bấm "Gửi đánh giá".</t>
  </si>
  <si>
    <t>Sao = 3; Ảnh = 3 ảnh hợp lệ (jpg/png)</t>
  </si>
  <si>
    <t>Hệ thống lưu thành công đánh giá kèm đủ 3 ảnh.</t>
  </si>
  <si>
    <t>Chặn đánh giá cho đơn hàng chưa hoàn thành</t>
  </si>
  <si>
    <t>Đơn hàng đang ở in_progress hoặc confirmed</t>
  </si>
  <si>
    <t>Khách gọi API gửi đánh giá cho đơn hàng chưa completed.</t>
  </si>
  <si>
    <t>Order ID chưa completed</t>
  </si>
  <si>
    <t>Backend từ chối request, trả thông báo lỗi đơn hàng chưa hoàn thành không thể đánh giá.</t>
  </si>
  <si>
    <t>Khách cố đính kèm nhiều hơn 3 ảnh cho 1 đánh giá</t>
  </si>
  <si>
    <t>Order còn hiệu lực đánh giá.</t>
  </si>
  <si>
    <t>1. Vào chi tiết đơn hàng.
2. Chọn số sao, nhập comment.
3. Thử chọn/đính kèm ảnh thứ 4.
4. Quan sát hành vi hệ thống.</t>
  </si>
  <si>
    <t>Số ảnh chọn = 4</t>
  </si>
  <si>
    <t>Hệ thống ngăn không cho chọn thêm ảnh thứ 4, hoặc hiển thị cảnh báo "Chỉ được đính kèm tối đa 3 ảnh" (cần BA xác nhận hành vi chính xác vì tài liệu chưa mô tả rõ).</t>
  </si>
  <si>
    <t>Nút "Gửi đánh giá" không hiển thị với order đã được đánh giá</t>
  </si>
  <si>
    <t>Order A đã completed và đã được khách gửi đánh giá trước đó.</t>
  </si>
  <si>
    <t>1. Vào lại chi tiết đơn hàng A.
2. Quan sát giao diện.</t>
  </si>
  <si>
    <t>Order A: đã có 1 bản ghi review (order_id duy nhất).</t>
  </si>
  <si>
    <t>Hệ thống không hiển thị nút "Gửi đánh giá" cho order đã được đánh giá.</t>
  </si>
  <si>
    <t>Chặn đánh giá trùng lặp lần thứ 2 trên cùng 1 đơn hàng</t>
  </si>
  <si>
    <t>Đơn hàng đã được đánh giá trước đó</t>
  </si>
  <si>
    <t>Khách gửi tiếp một đánh giá khác cho cùng order_id đó.</t>
  </si>
  <si>
    <t>Cùng 1 order_id</t>
  </si>
  <si>
    <t>Bị chặn do vi phạm ràng buộc UNIQUE(order_id), báo lỗi "Đơn hàng này đã được đánh giá".</t>
  </si>
  <si>
    <t>Khách cố đánh giá đơn hàng chưa completed</t>
  </si>
  <si>
    <t>Order B đang ở trạng thái khác completed (vd: in_progress, cancelled).</t>
  </si>
  <si>
    <t>1. Gửi request tạo đánh giá cho order B qua API/App.
2. Quan sát kết quả.</t>
  </si>
  <si>
    <t>orders.status = "in_progress"</t>
  </si>
  <si>
    <t>Backend chặn tại API, trả lỗi rõ ràng (không tạo được đánh giá) vì điều kiện orders.status='completed' không thỏa.</t>
  </si>
  <si>
    <t>Thợ nhận thông báo khi có đánh giá mới (status = visible)</t>
  </si>
  <si>
    <t>Khách vừa gửi đánh giá</t>
  </si>
  <si>
    <t>1. Khách gửi đánh giá hợp lệ
2. Kiểm tra thông báo Push App gửi tới thợ E.</t>
  </si>
  <si>
    <t>Kênh: Push App; Nội dung mẫu: "Điểm đánh giá trung bình của bạn vừa được cập nhật."</t>
  </si>
  <si>
    <t>Thợ E nhận được push notification đúng nội dung mẫu, không kèm chi tiết đánh giá (comment/ảnh/danh tính khách).</t>
  </si>
  <si>
    <t>Tính avg_rating chính xác cho service</t>
  </si>
  <si>
    <t>Service S có nhiều đánh giá visible với các mức sao khác nhau.</t>
  </si>
  <si>
    <t>1. Ghi nhận danh sách rating các review visible thuộc service S.
2. Tính trung bình cộng thủ công.
3. So sánh với giá trị services.avg_rating hệ thống hiển thị.</t>
  </si>
  <si>
    <t>Review visible của service S: [5,4,5,3] -&gt; trung bình = 4.25</t>
  </si>
  <si>
    <t>services.avg_rating = AVG(rating) trên các service_reviews thuộc service_id, khớp với giá trị tính thủ công (4.25); total_reviews = 4.</t>
  </si>
  <si>
    <t>Tính avg_rating chính xác cho technician</t>
  </si>
  <si>
    <t>Thợ T có nhiều đánh giá visible.</t>
  </si>
  <si>
    <t>1. Ghi nhận danh sách rating các review visible thuộc technician T.
2. Tính trung bình thủ công.
3. So sánh với technician_profiles.avg_rating hiển thị.</t>
  </si>
  <si>
    <t>Review visible của thợ T: [5,5,4,2,3] -&gt; trung bình = 3.8</t>
  </si>
  <si>
    <t>technician_profiles.avg_rating khớp giá trị tính thủ công (3.8); total_reviews = 5.</t>
  </si>
  <si>
    <t>Tính rating_breakdown theo từng mức sao cho thợ</t>
  </si>
  <si>
    <t>Thợ T có nhiều đánh giá visible với các mức sao khác nhau.</t>
  </si>
  <si>
    <t>1. Đếm thủ công số lượng đánh giá visible theo từng mức sao (1-5) của thợ T.
2. So sánh với rating_breakdown hệ thống hiển thị.</t>
  </si>
  <si>
    <t>Review visible của thợ T: 5★x2, 4★x1, 3★x1, 2★x1, 1★x0</t>
  </si>
  <si>
    <t>rating_breakdown trả về đúng: {5:2, 4:1, 3:1, 2:1, 1:0}.</t>
  </si>
  <si>
    <t>App Khách hiển thị avg_rating &amp; tổng lượt đánh giá, không hiển thị chi tiết</t>
  </si>
  <si>
    <t>Service S đã có avg_rating và total_reviews &gt; 0.</t>
  </si>
  <si>
    <t>1. Vào App Khách, tìm kiếm/xem dịch vụ S.
2. Quan sát khu vực hiển thị đánh giá.</t>
  </si>
  <si>
    <t>Service S: avg_rating = 4.8, total_reviews = 25</t>
  </si>
  <si>
    <t>Hiển thị "4.8 ★" kèm tổng số lượt đánh giá (25); không hiển thị danh sách/nội dung đánh giá chi tiết (rating riêng lẻ, comment, ảnh, danh tính).</t>
  </si>
  <si>
    <t>App Thợ hiển thị avg_rating &amp; rating_breakdown, không hiển thị nội dung/danh tính</t>
  </si>
  <si>
    <t>Thợ T đã có avg_rating, total_reviews, rating_breakdown.</t>
  </si>
  <si>
    <t>1. Đăng nhập App Thợ bằng tài khoản thợ T.
2. Vào mục xem đánh giá của bản thân.</t>
  </si>
  <si>
    <t>Thợ T: avg_rating=4.5, breakdown={5:10,4:5,3:2,2:1,1:0}</t>
  </si>
  <si>
    <t>Hiển thị avg_rating và số lượng đánh giá theo từng mức sao (5★10, 4★5, 3★2, 2★1, 1★0); không hiển thị comment/ảnh, không biết đánh giá của khách nào/đơn nào.</t>
  </si>
  <si>
    <t>Admin xem danh sách đánh giá sao thấp trong mục kiểm duyệt</t>
  </si>
  <si>
    <t>Admin đã đăng nhập Web Admin Portal; hệ thống có các review bị flagged/rating thấp.</t>
  </si>
  <si>
    <t>1. Vào mục "Kiểm duyệt đánh giá".
2. Quan sát danh sách hiển thị.</t>
  </si>
  <si>
    <t>Danh sách gồm các review có rating thấp/bị flag.</t>
  </si>
  <si>
    <t>Hệ thống hiển thị đúng danh sách các đánh giá đang có số sao thấp/cần kiểm duyệt.</t>
  </si>
  <si>
    <t>Admin xem chi tiết một đánh giá cụ thể</t>
  </si>
  <si>
    <t>Có ít nhất 1 đánh giá trong danh sách kiểm duyệt.</t>
  </si>
  <si>
    <t>1. Từ danh sách kiểm duyệt, chọn 1 đánh giá.
2. Xem chi tiết đánh giá.</t>
  </si>
  <si>
    <t>Review bao gồm: rating, comment, ảnh, lý do bị flag, danh tính khách/thợ.</t>
  </si>
  <si>
    <t>Admin xem được đầy đủ nội dung chi tiết (comment, ảnh, danh tính người đánh giá, lý do flag) — quyền duy nhất Admin có.</t>
  </si>
  <si>
    <t>Đính kèm ảnh sai định dạng hoặc vượt dung lượng cho phép</t>
  </si>
  <si>
    <t>1. Chọn số sao, nhập comment.
2. Đính kèm 1 file không phải ảnh (vd .exe) hoặc ảnh dung lượng rất lớn.
3. Bấm "Gửi đánh giá".</t>
  </si>
  <si>
    <t>File đính kèm: file.exe hoặc ảnh 5MB</t>
  </si>
  <si>
    <t>Hệ thống từ chối file không hợp lệ, hiển thị thông báo lỗi rõ ràng về định dạng/dung lượng cho phép</t>
  </si>
  <si>
    <t>Khách gửi khiếu nại trong thời hạn bảo hành</t>
  </si>
  <si>
    <t>Ticket đã completed và now &lt;= warranty_expires_at</t>
  </si>
  <si>
    <t>1. Khách vào Đơn hàng &gt; Chọn ticket completed.
2. Bấm Khiếu nại &gt; Nhập mô tả, đính kèm ảnh.
3. Bấm Gửi khiếu nại.</t>
  </si>
  <si>
    <t>Mô tả: "Máy giặt vẫn kêu to"Kèm video lỗi</t>
  </si>
  <si>
    <t>Tạo bản ghi complaints(status='pending'), bắn thông báo cho Admin có khiếu nại mới cần xử lý.</t>
  </si>
  <si>
    <t>Admin xác nhận khiếu nại hợp lệ (Tịch thu 8% phí bảo hành của thợ)</t>
  </si>
  <si>
    <t>Khiếu nại đang ở trạng thái pending</t>
  </si>
  <si>
    <t>1. Admin kiểm tra chi tiết khiếu nại.
2. Chọn xác nhận cần thợ quay lại sửa.
3. Gán việc cho thợ.</t>
  </si>
  <si>
    <t>Khiếu nại hợp lệ</t>
  </si>
  <si>
    <t>complaints.status chuyển assigned_to_technician, tickets.warranty_fee_status chuyển ngay thành forfeited (không trả thợ và không hoàn khách).</t>
  </si>
  <si>
    <t>Admin từ chối khiếu nại không hợp lệ</t>
  </si>
  <si>
    <t>Khiếu nại không có căn cứ hoặc ngoài phạm vi bảo hành</t>
  </si>
  <si>
    <t>1. Admin kiểm tra bằng chứng khiếu nại.
2. Bấm Từ chối khiếu nại.
3. Nhập lý do từ chối.</t>
  </si>
  <si>
    <t>Lý do: "Lỗi do tác động bên ngoài"</t>
  </si>
  <si>
    <t>complaints.status chuyển rejected &gt; closed. warranty_fee_status vẫn giữ nguyên holding để tiếp tục chờ giải ngân.</t>
  </si>
  <si>
    <t>Hết hạn bảo hành không khiếu nại -&gt; Giải ngân 8% phí cho thợ</t>
  </si>
  <si>
    <t>Ticket hết warranty_expires_at và warranty_fee_status='holding'</t>
  </si>
  <si>
    <t>Background job định kỳ quét các ticket đến hạn và không có khiếu nại.</t>
  </si>
  <si>
    <t>Ticket đạt điều kiện</t>
  </si>
  <si>
    <t>Tự động cộng 8% phí bảo hành vào ví Digital của thợ, cập nhật warranty_fee_status='released', bắn Push thông báo cho thợ.</t>
  </si>
  <si>
    <t>Ticket đã hết hạn bảo hành thì không cho gửi khiếu nại</t>
  </si>
  <si>
    <t>Ticket Y có tickets.status=completed, now &gt; warranty_expires_at (đã hết hạn).</t>
  </si>
  <si>
    <t>1. Vào lịch sử đơn hàng, chọn ticket Y.
2. Quan sát giao diện.</t>
  </si>
  <si>
    <t>now &gt; warranty_expires_at</t>
  </si>
  <si>
    <t>App ẩn nút "Khiếu nại" và hiển thị thông báo ticket đã hết hạn bảo hành; khách không thể gửi khiếu nại.</t>
  </si>
  <si>
    <t>Khách gửi khiếu nại kèm nhiều ảnh/video minh chứng</t>
  </si>
  <si>
    <t>Ticket còn trong thời hạn bảo hành, chưa có khiếu nại.</t>
  </si>
  <si>
    <t>1. Chọn ticket, nhập mô tả.
2. Đính kèm 2 ảnh + 1 video minh chứng.
3. Bấm "Gửi khiếu nại".</t>
  </si>
  <si>
    <t>evidence_urls: 2 ảnh + 1 video</t>
  </si>
  <si>
    <t>Complaint được tạo thành công với đầy đủ evidence_urls đính kèm, lưu đúng liên kết.</t>
  </si>
  <si>
    <t>Admin nhận thông báo khi có khiếu nại mới</t>
  </si>
  <si>
    <t>Khách vừa gửi khiếu nại mới cho ticket #10294.</t>
  </si>
  <si>
    <t>1. Khách gửi khiếu nại thành công.
2. Kiểm tra Web Notification phía Admin/Điều phối.</t>
  </si>
  <si>
    <t>Nội dung mẫu: "Có 01 khiếu nại mới cho ticket #10294 cần xử lý."</t>
  </si>
  <si>
    <t>Admin/Điều phối nhận được Web Notification đúng nội dung mẫu, đúng mã ticket.</t>
  </si>
  <si>
    <t>Khách không thể gửi khiếu nại cho ticket chưa completed</t>
  </si>
  <si>
    <t>Ticket W đang ở trạng thái khác completed (vd: in_progress).</t>
  </si>
  <si>
    <t>1. Vào lịch sử đơn hàng, chọn ticket W.
2. Quan sát giao diện / thử gọi API tạo khiếu nại.</t>
  </si>
  <si>
    <t>tickets.status = "in_progress"</t>
  </si>
  <si>
    <t>App không hiển thị chức năng khiếu nại cho ticket chưa completed; nếu gọi thẳng API, BE từ chối và trả lỗi rõ ràng.</t>
  </si>
  <si>
    <t>Khách gửi khiếu nại đúng ranh giới thời điểm hết hạn bảo hành (boundary)</t>
  </si>
  <si>
    <t>Ticket Z có warranty_expires_at = thời điểm hiện tại (now = warranty_expires_at).</t>
  </si>
  <si>
    <t>1. Ngay tại thời điểm now = warranty_expires_at, khách thử gửi khiếu nại.
2. Quan sát kết quả.</t>
  </si>
  <si>
    <t>now == warranty_expires_at</t>
  </si>
  <si>
    <t>Đơn khiếu nại vẫn hợp lệ miễn warranty_expires_at &gt; now</t>
  </si>
  <si>
    <t>Thợ không phản hồi/không quay lại xử lý khiếu nại trong thời gian dài</t>
  </si>
  <si>
    <t>Complaint ở trạng thái assigned_to_technician, thợ chưa bấm "Xác nhận tiếp nhận xử lý" sau thời gian dài.</t>
  </si>
  <si>
    <t>1. Admin gán khiếu nại cho thợ.
2. Chờ quá thời gian dự kiến (SLA) mà thợ không phản hồi.
3. Kiểm tra hệ thống có cảnh báo/escalate cho Admin không.</t>
  </si>
  <si>
    <t>Thợ không phản hồi sau 2 giờ</t>
  </si>
  <si>
    <t>Thông báo cho admin thợ chưa phản hồi</t>
  </si>
  <si>
    <t>Admin xem danh sách khiếu nại đang pending, sắp xếp theo thời gian tạo</t>
  </si>
  <si>
    <t>Có nhiều complaint ở trạng thái pending với thời gian tạo khác nhau.</t>
  </si>
  <si>
    <t>1. Admin đăng nhập Web Admin, vào "Xử lý Khiếu nại".
2. Quan sát danh sách hiển thị.</t>
  </si>
  <si>
    <t>Danh sách complaint status=pending</t>
  </si>
  <si>
    <t>Danh sách hiển thị đúng các complaint đang pending, sắp xếp theo thời gian tạo (mới nhất/cũ nhất theo quy ước hệ thống).</t>
  </si>
  <si>
    <t>Admin mở khiếu nại để xem xét, chuyển status sang admin_reviewing</t>
  </si>
  <si>
    <t>Complaint đang ở trạng thái pending.</t>
  </si>
  <si>
    <t>1. Admin chọn 1 complaint từ danh sách pending.
2. Mở xem chi tiết.</t>
  </si>
  <si>
    <t>complaint status=pending trước khi mở</t>
  </si>
  <si>
    <t>Admin xem được đầy đủ: ticket liên quan, ảnh/video minh chứng, mô tả của khách, thông tin thợ đã thực hiện dịch vụ.</t>
  </si>
  <si>
    <t>Admin xác nhận khiếu nại hợp lệ, gán thợ quay lại sửa</t>
  </si>
  <si>
    <t>Complaint đang ở trạng thái admin_reviewing; ticket liên quan có warranty_fee_status=holding.</t>
  </si>
  <si>
    <t>1. Admin xem xét complaint.
2. Chọn quyết định "Yêu cầu thợ quay lại kiểm tra &amp; sửa".
3. Xác nhận.</t>
  </si>
  <si>
    <t>Quyết định: assigned_to_technician</t>
  </si>
  <si>
    <t>complaints.status chuyển 'assigned_to_technician'; đồng thời tickets.warranty_fee_status chuyển từ 'holding' sang 'forfeited'; push thông báo cho thợ; complaint_logs ghi nhận quyết định.</t>
  </si>
  <si>
    <t>Admin từ chối khiếu nại không hợp lệ / ngoài phạm vi bảo hành</t>
  </si>
  <si>
    <t>1. Admin xem xét complaint.
2. Chọn quyết định "Từ chối khiếu nại".
3. Xác nhận.</t>
  </si>
  <si>
    <t>Quyết định: rejected — lý do: ngoài phạm vi bảo hành</t>
  </si>
  <si>
    <t>complaints.status chuyển 'rejected' rồi 'closed'; tickets.warranty_fee_status không đổi, vẫn giữ 'holding', tiếp tục chờ hết hạn để giải ngân bình thường; complaint_logs ghi nhận quyết định.</t>
  </si>
  <si>
    <t>Thợ nhận push khi được Admin gán xử lý khiếu nại</t>
  </si>
  <si>
    <t>Admin vừa xác nhận khiếu nại hợp lệ và gán cho thợ T.</t>
  </si>
  <si>
    <t>1. Admin gán khiếu nại cho thợ T.
2. Kiểm tra Push App trên tài khoản thợ T.</t>
  </si>
  <si>
    <t>Nội dung mẫu: "Bạn có 1 khiếu nại cần xử lý cho ticket #10294. Vui lòng liên hệ khách để hẹn lịch kiểm tra."</t>
  </si>
  <si>
    <t>Thợ T nhận được push đúng nội dung mẫu, đúng mã ticket.</t>
  </si>
  <si>
    <t>Tự động mở cuộc trò chuyện khi ticket chuyển sang assigned</t>
  </si>
  <si>
    <t>Ticket vừa được gán thợ</t>
  </si>
  <si>
    <t>Admin gán việc cho thợ thành công (tickets.status='assigned').</t>
  </si>
  <si>
    <t>Ticket chuyển assigned</t>
  </si>
  <si>
    <t>Tự động tạo bản ghi conversations với status='open' giữa khách và thợ. Hiện icon "Nhắn tin" trên cả 2 app.</t>
  </si>
  <si>
    <t>Chặn gửi ảnh quá dung lượng 5MB trong phòng chat</t>
  </si>
  <si>
    <t>Cuộc trò chuyện đang ở trạng thái open</t>
  </si>
  <si>
    <t>1. Bấm đính kèm ảnh.
2. Chọn file ảnh có dung lượng &gt; 5MB.
3. Thực hiện gửi.</t>
  </si>
  <si>
    <t>Ảnh dung lượng 7MB</t>
  </si>
  <si>
    <t>App hiển thị cảnh báo file vượt quá dung lượng cho phép và chặn không cho gửi lên máy chủ.</t>
  </si>
  <si>
    <t>Gửi tin nhắn văn bản thành công (optimistic UI)</t>
  </si>
  <si>
    <t>Conversation của ticket X đang ở trạng thái open.</t>
  </si>
  <si>
    <t>1. Mở màn chat của ticket X.
2. Gõ nội dung tin nhắn.
3. Bấm gửi.</t>
  </si>
  <si>
    <t>content="Chào anh, mấy giờ anh tới ạ?"</t>
  </si>
  <si>
    <t>Tin nhắn hiển thị ngay trong khung chat với status=sending (optimistic UI); sau khi BE lưu thành công, chuyển sang status=sent và được phát realtime tới người nhận.</t>
  </si>
  <si>
    <t>Người nhận đang online nhận tin nhắn realtime qua WebSocket</t>
  </si>
  <si>
    <t>Người nhận (khách hoặc thợ) đang mở app, kết nối WebSocket còn hoạt động; người gửi vừa gửi 1 tin nhắn.</t>
  </si>
  <si>
    <t>1. Người gửi gửi tin nhắn text.
2. Quan sát trạng thái tin nhắn phía người gửi và màn hình chat phía người nhận.</t>
  </si>
  <si>
    <t>message status=sent</t>
  </si>
  <si>
    <t>Client người nhận nhận được tin nhắn ngay qua WebSocket; message status cập nhật thành 'delivered' phía người gửi.</t>
  </si>
  <si>
    <t>Người nhận offline nhận Push Notification khi có tin nhắn mới</t>
  </si>
  <si>
    <t>Người nhận không mở app / offline; người gửi vừa gửi 1 tin nhắn text.</t>
  </si>
  <si>
    <t>1. Người gửi gửi tin nhắn khi người nhận đang offline.
2. Kiểm tra Push Notification trên thiết bị người nhận.</t>
  </si>
  <si>
    <t>Nội dung mẫu: "[Tên người gửi]: [nội dung rút gọn]"</t>
  </si>
  <si>
    <t>Người nhận nhận được Push App đúng nội dung mẫu (tên người gửi + nội dung rút gọn).</t>
  </si>
  <si>
    <t>Gửi tin nhắn thất bại do mất kết nối mạng</t>
  </si>
  <si>
    <t>Thiết bị người gửi mất kết nối mạng trong lúc gửi tin nhắn.</t>
  </si>
  <si>
    <t>1. Ngắt kết nối mạng.
2. Gõ nội dung và bấm gửi.
3. Quan sát trạng thái tin nhắn.</t>
  </si>
  <si>
    <t>content="Anh ơi còn ở đó không?", mạng: offline</t>
  </si>
  <si>
    <t>Tin nhắn chuyển status='failed', hiển thị icon cảnh báo kèm nút "Gửi lại"; không tự động gửi lại ngầm.</t>
  </si>
  <si>
    <t>Gửi lại tin nhắn ở trạng thái failed</t>
  </si>
  <si>
    <t>Có 1 tin nhắn đang ở trạng thái failed do lỗi mạng trước đó.</t>
  </si>
  <si>
    <t>1. Khôi phục kết nối mạng.
2. Bấm nút "Gửi lại" trên tin nhắn failed.
3. Quan sát trạng thái.</t>
  </si>
  <si>
    <t>message status trước: failed</t>
  </si>
  <si>
    <t>Tin nhắn chuyển lại status='sending' rồi 'sent' sau khi BE lưu thành công, tiếp tục luồng delivered/read như bình thường.</t>
  </si>
  <si>
    <t>Gửi ảnh thành công từ thư viện</t>
  </si>
  <si>
    <t>Conversation của ticket X đang mở; thiết bị có ảnh trong thư viện hợp lệ (&lt;5MB).</t>
  </si>
  <si>
    <t>1. Bấm icon đính kèm.
2. Chọn 1 ảnh từ thư viện.
3. Bấm gửi.</t>
  </si>
  <si>
    <t>Ảnh 2MB, định dạng jpg</t>
  </si>
  <si>
    <t>Upload lên Storage, nhận media_url + thumbnail_url; tạo messages(type=image, status=sending) rồi chuyển sent theo đúng luồng như tin nhắn text.</t>
  </si>
  <si>
    <t>Gửi ảnh chụp mới thành công</t>
  </si>
  <si>
    <t>Conversation của ticket X đang mở; thiết bị cho phép truy cập camera.</t>
  </si>
  <si>
    <t>1. Bấm icon đính kèm.
2. Chọn chụp ảnh mới.
3. Chụp và bấm gửi.</t>
  </si>
  <si>
    <t>Ảnh chụp mới, định dạng jpg</t>
  </si>
  <si>
    <t>Ảnh được gửi thành công tương tự luồng chọn từ thư viện, hiển thị thumbnail trong khung chat.</t>
  </si>
  <si>
    <t>Ảnh vẫn vượt giới hạn sau khi nén thì bị chặn gửi</t>
  </si>
  <si>
    <t>Conversation đang mở; ảnh chọn có dung lượng lớn, không thể nén xuống dưới 5MB (vd ảnh độ phân giải cực cao).</t>
  </si>
  <si>
    <t>1. Chọn ảnh &gt;5MB
2. Quan sát kết quả.</t>
  </si>
  <si>
    <t>Ảnh gốc 6MB</t>
  </si>
  <si>
    <t>Hệ thống chặn gửi, hiển thị thông báo yêu cầu chọn ảnh khác; không tạo message image nào.</t>
  </si>
  <si>
    <t>Ảnh hiển thị dạng thumbnail trong khung chat và xem được full-size</t>
  </si>
  <si>
    <t>Đã có 1 tin nhắn ảnh được gửi thành công trong conversation.</t>
  </si>
  <si>
    <t>1. Mở màn chat có tin nhắn ảnh.
2. Quan sát hiển thị thumbnail.
3. Bấm vào ảnh để xem full-size.</t>
  </si>
  <si>
    <t>message type=image</t>
  </si>
  <si>
    <t>Ảnh hiển thị dạng thumbnail trong khung chat; khi bấm vào, mở xem ảnh full-size đúng nội dung đã gửi.</t>
  </si>
  <si>
    <t>Tải ảnh về máy từ khung chat</t>
  </si>
  <si>
    <t>Đang xem ảnh full-size trong màn chat.</t>
  </si>
  <si>
    <t>1. Ở màn xem ảnh full-size, bấm nút "Tải về".
2. Kiểm tra file đã tải trên thiết bị.</t>
  </si>
  <si>
    <t>Ảnh đang xem full-size</t>
  </si>
  <si>
    <t>Ảnh được tải về thiết bị thành công, đúng nội dung ảnh gốc.</t>
  </si>
  <si>
    <t>Cuộn lên đầu để tải thêm tin nhắn cũ hơn (infinite scroll)</t>
  </si>
  <si>
    <t>Đang xem màn chat với 1 trang tin nhắn đã tải, còn tin nhắn cũ hơn chưa tải.</t>
  </si>
  <si>
    <t>1. Cuộn lên đầu khung chat.
2. Quan sát hành vi tải thêm dữ liệu.</t>
  </si>
  <si>
    <t>Còn dữ liệu tin nhắn cũ hơn trong DB</t>
  </si>
  <si>
    <t>Hệ thống tự động gọi thêm trang tiếp theo và hiển thị bổ sung các tin nhắn cũ hơn, không bị trùng lặp hay mất tin nhắn.</t>
  </si>
  <si>
    <t>Tin nhắn chưa đọc tự động đánh dấu đã đọc khi hiển thị trên màn hình</t>
  </si>
  <si>
    <t>Có các tin nhắn ở trạng thái delivered (chưa read) trong conversation.</t>
  </si>
  <si>
    <t>1. Mở màn chat, để các tin nhắn chưa đọc hiển thị trên màn hình.
2. Kiểm tra trạng thái tin nhắn sau đó.</t>
  </si>
  <si>
    <t>message status trước: delivered</t>
  </si>
  <si>
    <t>Các tin nhắn được hiển thị trên màn hình tự động được đánh dấu đã đọc (status chuyển 'read', cập nhật conversation_read_status).</t>
  </si>
  <si>
    <t>Admin xem toàn bộ lịch sử chat của ticket, kể cả tin nhắn đã bị soft delete</t>
  </si>
  <si>
    <t>Conversation của ticket X có 1 số tin nhắn đã bị khách hoặc thợ soft delete.</t>
  </si>
  <si>
    <t>1. Admin mở chi tiết ticket X hoặc khiếu nại liên quan.
2. Chọn tab "Lịch sử chat".
3. Quan sát danh sách tin nhắn.</t>
  </si>
  <si>
    <t>Có ít nhất 1 message đã có deleted_at (soft delete phía 1 bên)</t>
  </si>
  <si>
    <t>Admin xem được toàn bộ tin nhắn giữa khách và thợ, bao gồm cả những tin nhắn đã bị 1 bên xoá mềm (bản gốc đầy đủ).</t>
  </si>
  <si>
    <t>Admin gửi tin nhắn can thiệp vào conversation khi xử lý tranh chấp</t>
  </si>
  <si>
    <t>Conversation của ticket X đang open, đang có tranh chấp cần Admin hoà giải.</t>
  </si>
  <si>
    <t>1. Admin mở conversation của ticket X.
2. Gõ nội dung và gửi tin nhắn với vai trò can thiệp.</t>
  </si>
  <si>
    <t>content="FixHub xin ghi nhận vấn đề của anh/chị, chúng tôi sẽ hỗ trợ xử lý."</t>
  </si>
  <si>
    <t>Tin nhắn được tạo với sender_role='admin'; hiển thị rõ nhãn "Admin FixHub" trong khung chat của cả khách hàng và thợ.</t>
  </si>
  <si>
    <t>Admin mở lại (re-open) 1 conversation đã đóng</t>
  </si>
  <si>
    <t>Conversation của ticket X đang ở trạng thái closed (vd khiếu nại phát sinh trễ sau khi chat tự đóng).</t>
  </si>
  <si>
    <t>1. Admin vào conversation đã closed.
2. Chọn chức năng "Mở lại cuộc trò chuyện".
3. Xác nhận.</t>
  </si>
  <si>
    <t>conversation status trước: closed</t>
  </si>
  <si>
    <t>conversation.status chuyển lại 'open'; khách và thợ có thể gửi tin nhắn mới trở lại.</t>
  </si>
  <si>
    <t>Khách và thợ nhận Push khi Admin gửi tin nhắn can thiệp</t>
  </si>
  <si>
    <t>Admin vừa gửi 1 tin nhắn can thiệp vào conversation của ticket X.</t>
  </si>
  <si>
    <t>1. Admin gửi tin nhắn can thiệp.
2. Kiểm tra Push Notification trên thiết bị khách và thợ (nếu offline).</t>
  </si>
  <si>
    <t>Nội dung mẫu: "Admin FixHub: [nội dung]"</t>
  </si>
  <si>
    <t>Cả khách hàng và thợ đều nhận được Push App đúng nội dung mẫu khi Admin can thiệp.</t>
  </si>
  <si>
    <t>Tự động đóng conversation khi ticket completed + hết hạn bảo hành, không có khiếu nại mở</t>
  </si>
  <si>
    <t>Ticket X chuyển completed, đã qua warranty_expires_at, không có complaint nào đang ở trạng thái mở (chưa closed).</t>
  </si>
  <si>
    <t>1. Ticket X đạt điều kiện completed + qua warranty_expires_at.
2. Kiểm tra conversation.status của ticket X.</t>
  </si>
  <si>
    <t>Không có complaint mở nào liên quan ticket X</t>
  </si>
  <si>
    <t>BE tự động đóng conversation, status chuyển 'closed'.</t>
  </si>
  <si>
    <t>Không đóng conversation nếu đang có khiếu nại mở tại thời điểm hết hạn bảo hành</t>
  </si>
  <si>
    <t>Ticket Y chuyển completed, đã qua warranty_expires_at, nhưng đang có 1 complaint ở trạng thái chưa closed (vd in_repair).</t>
  </si>
  <si>
    <t>1. Ticket Y đạt điều kiện hết hạn bảo hành nhưng còn complaint mở.
2. Kiểm tra conversation.status.</t>
  </si>
  <si>
    <t>complaint status = in_repair (chưa closed)</t>
  </si>
  <si>
    <t>Conversation vẫn giữ nguyên status='open' để 2 bên tiếp tục trao đổi, không tự đóng cho tới khi complaint chuyển closed.</t>
  </si>
  <si>
    <t>Đóng conversation ngay lập tức khi ticket bị huỷ</t>
  </si>
  <si>
    <t>Ticket Z đang có conversation status=open, bị huỷ (cancelled) trước khi hoàn thành.</t>
  </si>
  <si>
    <t>1. Cập nhật ticket Z sang trạng thái cancelled.
2. Kiểm tra conversation.status ngay sau đó.</t>
  </si>
  <si>
    <t>tickets.status = cancelled</t>
  </si>
  <si>
    <t>Conversation của ticket Z chuyển 'closed' ngay lập tức, không cần chờ điều kiện nào khác.</t>
  </si>
  <si>
    <t>Ticket được Admin re-assign sang thợ khác: đóng conversation cũ, tạo conversation mới</t>
  </si>
  <si>
    <t>Ticket X đang có conversation open với thợ A; Admin thực hiện re-assign sang thợ B.</t>
  </si>
  <si>
    <t>1. Admin re-assign ticket X từ thợ A sang thợ B.
2. Kiểm tra trạng thái conversation cũ và conversation mới.</t>
  </si>
  <si>
    <t>Re-assign: thợ A -&gt; thợ B</t>
  </si>
  <si>
    <t>Conversation với thợ A tự động chuyển status='closed'; hệ thống tạo conversation mới status='open' giữa khách và thợ B.</t>
  </si>
  <si>
    <t>Super Admin tạo tài khoản Admin mới và gán vai trò</t>
  </si>
  <si>
    <t>Super Admin đã đăng nhập; nhân sự mới chưa có tài khoản Admin</t>
  </si>
  <si>
    <t>1. Vào mục 'Tài khoản quản trị'
2. Bấm 'Tạo tài khoản mới'
3. Nhập thông tin nhân sự
4. Chọn (các) vai trò
5. Xác nhận</t>
  </si>
  <si>
    <t>Họ tên: Trần Thị D; Vai trò: kế toán</t>
  </si>
  <si>
    <t>Tạo thành công admin_accounts(status='active'), created_by đúng Super Admin; tạo bản ghi admin_account_roles gán đúng vai trò 'kế toán'</t>
  </si>
  <si>
    <t>Hệ thống chặn thao tác khóa Super Admin cuối cùng</t>
  </si>
  <si>
    <t>Hệ thống chỉ còn duy nhất 01 Super Admin đang active</t>
  </si>
  <si>
    <t>Super Admin thực hiện thao tác tự khóa hoặc xóa vai trò của chính mình.</t>
  </si>
  <si>
    <t>ID Super Admin duy nhất</t>
  </si>
  <si>
    <t>Hệ thống chặn thao tác và trả thông báo lỗi: "Không thể khóa Super Admin cuối cùng của hệ thống".</t>
  </si>
  <si>
    <t>Super Admin khóa 1 tài khoản Admin đang tồn tại</t>
  </si>
  <si>
    <t>Tồn tại 1 tài khoản Admin khác đang status='active', không phải Super Admin cuối cùng</t>
  </si>
  <si>
    <t>1. Vào chi tiết tài khoản Admin
2. Bấm 'Khóa tài khoản'
3. Xác nhận</t>
  </si>
  <si>
    <t>admin_accounts.status chuyển 'locked'; ghi admin_audit_logs cho hành động khóa tài khoản</t>
  </si>
  <si>
    <t>Super Admin mở khóa 1 tài khoản Admin đang bị khóa</t>
  </si>
  <si>
    <t>Tài khoản Admin đang status='locked'</t>
  </si>
  <si>
    <t>1. Vào chi tiết tài khoản Admin đang locked
2. Bấm 'Mở khóa tài khoản'
3. Xác nhận</t>
  </si>
  <si>
    <t>admin_accounts.status chuyển 'active'; ghi admin_audit_logs cho hành động mở khóa</t>
  </si>
  <si>
    <t>Super Admin thay đổi vai trò của 1 tài khoản Admin đang tồn tại</t>
  </si>
  <si>
    <t>Tài khoản Admin đang có vai trò 'dieu_phoi_vien'</t>
  </si>
  <si>
    <t>1. Vào chi tiết tài khoản Admin
2. Đổi vai trò sang 'cskh'
3. Lưu</t>
  </si>
  <si>
    <t>Vai trò cũ: dieu_phoi_vien; Vai trò mới: cskh</t>
  </si>
  <si>
    <t>admin_account_roles được cập nhật đúng vai trò mới; ghi admin_audit_logs với before_value/after_value phản ánh đúng thay đổi vai trò</t>
  </si>
  <si>
    <t>Tài khoản Admin bị khóa/đổi vai trò khi đang có session hoạt động -&gt; revoke ngay</t>
  </si>
  <si>
    <t>Tài khoản Admin X đang đăng nhập, có session hoạt động trên Web Admin Portal</t>
  </si>
  <si>
    <t>1. Super Admin khóa hoặc đổi vai trò của tài khoản Admin X
2. Tài khoản Admin X thử gọi tiếp 1 API bất kỳ với session cũ</t>
  </si>
  <si>
    <t>Session của tài khoản Admin X bị revoke ngay lập tức; request tiếp theo bị từ chối, yêu cầu đăng nhập lại (không chờ token hết hạn tự nhiên)</t>
  </si>
  <si>
    <t>Khóa tài khoản khách hàng khi phát hiện vi phạm, nhập lý do</t>
  </si>
  <si>
    <t>Khách hàng đang có tài khoản active, bị nghi ngờ vi phạm (gian lận, spam đánh giá, quấy rối thợ)</t>
  </si>
  <si>
    <t>1. Mở chi tiết khách hàng
2. Bấm 'Khóa tài khoản'
3. Nhập lý do
4. Xác nhận</t>
  </si>
  <si>
    <t>Lý do: 'Spam đánh giá lặp lại nhiều lần'</t>
  </si>
  <si>
    <t>Ghi account_status_logs(target_role='customer', action='locked'); tài khoản khách hàng chuyển locked, chỉ chặn hành động mới (đặt đơn mới)</t>
  </si>
  <si>
    <t>Mở khóa tài khoản khách hàng</t>
  </si>
  <si>
    <t>Tài khoản khách hàng đang locked</t>
  </si>
  <si>
    <t>1. Mở chi tiết khách hàng đang locked
2. Bấm 'Mở khóa tài khoản'
3. Xác nhận</t>
  </si>
  <si>
    <t>Ghi account_status_logs(action='unlocked'); tài khoản khách hàng chuyển về active, có thể đặt đơn trở lại</t>
  </si>
  <si>
    <t>Admin khóa tài khoản khách hàng đang có đơn hàng chưa completed</t>
  </si>
  <si>
    <t>Khách hàng đang có ≥1 đơn hàng ở trạng thái chưa completed (VD: confirmed)</t>
  </si>
  <si>
    <t>1. Admin khóa tài khoản khách hàng này</t>
  </si>
  <si>
    <t>Đơn đang confirmed, chưa completed</t>
  </si>
  <si>
    <t>Đơn hàng hiện tại tiếp tục được xử lý bình thường, không bị hủy ngang; khách hàng chỉ bị chặn tạo đơn hàng mới kể từ thời điểm khóa</t>
  </si>
  <si>
    <t>Hai Admin cùng mở và xử lý 1 hồ sơ đăng ký thợ tại cùng thời điểm (race condition)</t>
  </si>
  <si>
    <t>Hồ sơ thợ đang approval_status='pending'; 2 Admin (A và B) cùng mở hồ sơ này</t>
  </si>
  <si>
    <t>1. Admin A duyệt hồ sơ trước (thành công)
2. Admin B (đã mở hồ sơ từ trước) sau đó cũng bấm duyệt/từ chối cho cùng hồ sơ</t>
  </si>
  <si>
    <t>Cùng 1 hồ sơ, 2 Admin xử lý gần như đồng thời</t>
  </si>
  <si>
    <t>Nhờ optimistic lock trên approval_status, Admin B nhận cảnh báo 'Hồ sơ đã được xử lý bởi [Admin A]' và thao tác của Admin B không được ghi đè lên kết quả của Admin A</t>
  </si>
  <si>
    <t>Hai Admin cùng mở và xác nhận/hủy 1 đơn hàng ở tab 'Chưa xác nhận' cùng thời điểm</t>
  </si>
  <si>
    <t>Đơn đang pending_confirm; 2 Admin (A và B) cùng mở đơn này</t>
  </si>
  <si>
    <t>1. Admin A xác nhận đơn trước (thành công, đơn chuyển confirmed)
2. Admin B (đã mở đơn từ trước) sau đó cũng bấm hủy/xác nhận cho cùng đơn</t>
  </si>
  <si>
    <t>Cùng 1 đơn, 2 Admin xử lý gần như đồng thời</t>
  </si>
  <si>
    <t>Admin B nhận cảnh báo 'Đơn hàng đã được xử lý bởi [Admin A]' và thao tác của Admin B không được ghi đè lên trạng thái đã được Admin A xử lý</t>
  </si>
  <si>
    <t>Vai trò Kế toán chỉ được xem đơn hàng (phục vụ đối soát), không được xác nhận/hủy</t>
  </si>
  <si>
    <t>Admin vai trò 'ke_toan' đã đăng nhập</t>
  </si>
  <si>
    <t>1. Kế toán xem danh sách/chi tiết đơn hàng
2. Thử thực hiện xác nhận/hủy đơn ở tab 'Chưa xác nhận'</t>
  </si>
  <si>
    <t>Token role: ke_toan</t>
  </si>
  <si>
    <t>Kế toán được phép xem đơn hàng, nhưng bị từ chối khi cố xác nhận/hủy đơn</t>
  </si>
  <si>
    <t>Admin thêm danh mục dịch vụ mới thành công</t>
  </si>
  <si>
    <t>Admin đã đăng nhập Web Admin</t>
  </si>
  <si>
    <t>1. Vào Quản lý danh mục &gt; Bấm Thêm danh mục.
2. Nhập tên, mô tả, chọn icon &gt; Lưu.</t>
  </si>
  <si>
    <t>Tên: Điện lạnh; Mô tả: Sửa chữa, bảo dưỡng điện lạnh</t>
  </si>
  <si>
    <t>Danh mục được tạo thành công và hiển thị thông báo thành công.</t>
  </si>
  <si>
    <t>Danh mục mới xuất hiện trong danh sách quản lý</t>
  </si>
  <si>
    <t>Admin vừa thêm danh mục mới</t>
  </si>
  <si>
    <t>1. Quay lại danh sách danh mục.</t>
  </si>
  <si>
    <t>Danh mục vừa thêm</t>
  </si>
  <si>
    <t>Danh mục mới hiển thị trong danh sách với đúng tên, mô tả, icon và trạng thái.</t>
  </si>
  <si>
    <t>Danh mục mới ở trạng thái hoạt động hiển thị trên App khách</t>
  </si>
  <si>
    <t>Danh mục mới ở trạng thái Hoạt động</t>
  </si>
  <si>
    <t>1. Khách mở App &gt; Trang chủ/Danh mục dịch vụ.</t>
  </si>
  <si>
    <t>Danh mục hoạt động</t>
  </si>
  <si>
    <t>Danh mục mới hiển thị trên App khách với đúng tên và icon.</t>
  </si>
  <si>
    <t>Chặn thêm danh mục khi bỏ trống tên</t>
  </si>
  <si>
    <t>Form thêm danh mục đang mở</t>
  </si>
  <si>
    <t>1. Để trống tên danh mục.
2. Bấm Lưu.</t>
  </si>
  <si>
    <t>Tên: để trống</t>
  </si>
  <si>
    <t>Hiển thị lỗi trường bắt buộc, không tạo danh mục.</t>
  </si>
  <si>
    <t>Chặn thêm danh mục có tên trùng với danh mục đã tồn tại</t>
  </si>
  <si>
    <t>Đã tồn tại danh mục 'Điện lạnh'</t>
  </si>
  <si>
    <t>1. Nhập tên 'Điện lạnh' &gt; Bấm Lưu.</t>
  </si>
  <si>
    <t>Tên: Điện lạnh</t>
  </si>
  <si>
    <t>Hệ thống báo tên danh mục đã tồn tại, không tạo bản ghi mới.</t>
  </si>
  <si>
    <t>Tên danh mục có khoảng trắng đầu và cuối được tự cắt bỏ</t>
  </si>
  <si>
    <t>1. Nhập tên có khoảng trắng ở đầu và cuối &gt; Lưu.</t>
  </si>
  <si>
    <t>Tên: '  Điện nước  '</t>
  </si>
  <si>
    <t>Tên lưu vào hệ thống đã được cắt khoảng trắng thừa: 'Điện nước'.</t>
  </si>
  <si>
    <t>Chặn thêm danh mục khi tên vượt quá độ dài tối đa</t>
  </si>
  <si>
    <t>1. Nhập tên rất dài vượt giới hạn &gt; Lưu.</t>
  </si>
  <si>
    <t>Tên vượt độ dài cho phép</t>
  </si>
  <si>
    <t>Hệ thống chặn nhập quá giới hạn hoặc báo lỗi, không tạo danh mục.</t>
  </si>
  <si>
    <t>Tải lên icon danh mục đúng định dạng cho phép</t>
  </si>
  <si>
    <t>1. Chọn file icon PNG/JPG hợp lệ.
2. Nhập tên &gt; Lưu.</t>
  </si>
  <si>
    <t>File icon.png hợp lệ</t>
  </si>
  <si>
    <t>Icon được tải lên, hiển thị xem trước và lưu cùng danh mục.</t>
  </si>
  <si>
    <t>Chặn tải lên icon sai định dạng file</t>
  </si>
  <si>
    <t>1. Chọn file .pdf hoặc .exe làm icon.
2. Bấm Lưu.</t>
  </si>
  <si>
    <t>File sai định dạng</t>
  </si>
  <si>
    <t>Hệ thống báo định dạng không được hỗ trợ, không lưu file.</t>
  </si>
  <si>
    <t>Thêm danh mục ở trạng thái Ẩn không hiển thị trên App khách</t>
  </si>
  <si>
    <t>1. Nhập thông tin, chọn trạng thái Ẩn &gt; Lưu.
2. Khách mở App kiểm tra danh mục.</t>
  </si>
  <si>
    <t>Trạng thái: Ẩn</t>
  </si>
  <si>
    <t>Danh mục lưu thành công ở Web Admin nhưng không hiển thị trên App khách.</t>
  </si>
  <si>
    <t>Bấm Hủy trên form thêm danh mục không lưu dữ liệu</t>
  </si>
  <si>
    <t>Form thêm danh mục đã nhập thông tin</t>
  </si>
  <si>
    <t>1. Bấm Hủy/Đóng form.
2. Kiểm tra danh sách danh mục.</t>
  </si>
  <si>
    <t>Dữ liệu đã nhập dở</t>
  </si>
  <si>
    <t>Form đóng, không tạo danh mục mới.</t>
  </si>
  <si>
    <t>Tìm kiếm danh mục theo tên</t>
  </si>
  <si>
    <t>Có nhiều danh mục trong hệ thống</t>
  </si>
  <si>
    <t>1. Nhập một phần tên danh mục vào ô tìm kiếm.</t>
  </si>
  <si>
    <t>Từ khóa: Điện</t>
  </si>
  <si>
    <t>Danh sách chỉ hiển thị các danh mục có tên chứa từ khóa.</t>
  </si>
  <si>
    <t>Thêm nhiều danh mục liên tiếp hiển thị đúng thứ tự</t>
  </si>
  <si>
    <t>Đang ở màn Quản lý danh mục</t>
  </si>
  <si>
    <t>1. Thêm danh mục A.
2. Thêm tiếp danh mục B, danh mục C.</t>
  </si>
  <si>
    <t>3 danh mục mới</t>
  </si>
  <si>
    <t>Cả 3 danh mục được tạo thành công, hiển thị đúng thứ tự quy định của hệ thống.</t>
  </si>
  <si>
    <t>Tên danh mục tiếng Việt có dấu được lưu và hiển thị đúng</t>
  </si>
  <si>
    <t>1. Nhập tên tiếng Việt có dấu, có ký tự đặc biệt cho phép &gt; Lưu.
2. Kiểm tra hiển thị ở Web Admin và App khách.</t>
  </si>
  <si>
    <t>Tên: Điện – Nước &amp; Ống nước</t>
  </si>
  <si>
    <t>Tên hiển thị đúng dấu, không lỗi font hoặc lỗi mã hóa ở cả Web Admin và App khách.</t>
  </si>
  <si>
    <t>Admin thêm dịch vụ mới đầy đủ thông tin hợp lệ</t>
  </si>
  <si>
    <t>Đã có ít nhất 1 danh mục đang hoạt động</t>
  </si>
  <si>
    <t>1. Vào Quản lý dịch vụ &gt; Bấm Thêm dịch vụ.
2. Chọn danh mục, nhập tên, mô tả, giá, tải ảnh.
3. Bấm Lưu.</t>
  </si>
  <si>
    <t>Danh mục: Điện lạnh; Tên: Vệ sinh máy lạnh; Giá: 250.000đ</t>
  </si>
  <si>
    <t>Dịch vụ được tạo thành công và hiển thị thông báo thành công.</t>
  </si>
  <si>
    <t>Dịch vụ mới xuất hiện trong danh sách quản lý dịch vụ</t>
  </si>
  <si>
    <t>Admin vừa thêm dịch vụ mới</t>
  </si>
  <si>
    <t>1. Quay lại danh sách dịch vụ.</t>
  </si>
  <si>
    <t>Dịch vụ vừa thêm</t>
  </si>
  <si>
    <t>Dịch vụ hiển thị trong danh sách với đúng tên, danh mục, giá, trạng thái.</t>
  </si>
  <si>
    <t>Dịch vụ mới hiển thị trên App khách đúng danh mục</t>
  </si>
  <si>
    <t>Dịch vụ mới ở trạng thái Hoạt động</t>
  </si>
  <si>
    <t>1. Khách mở App &gt; Chọn danh mục chứa dịch vụ.</t>
  </si>
  <si>
    <t>Dịch vụ hoạt động</t>
  </si>
  <si>
    <t>Dịch vụ mới hiển thị trong đúng danh mục với đúng tên, giá, ảnh.</t>
  </si>
  <si>
    <t>Admin mới nhận Email nội bộ khi tài khoản được tạo</t>
  </si>
  <si>
    <t>Super Admin vừa tạo 1 tài khoản Admin mới với vai trò cụ thể</t>
  </si>
  <si>
    <t>1. Super Admin tạo tài khoản Admin mới
2. Kiểm tra Email nội bộ của nhân sự đó</t>
  </si>
  <si>
    <t>Vai trò: cskh</t>
  </si>
  <si>
    <t>Nhân sự nhận Email: 'Tài khoản quản trị của bạn đã được tạo với vai trò [cskh]. Vui lòng đăng nhập và đổi mật khẩu.'</t>
  </si>
  <si>
    <t>Admin liên quan nhận Email khi vai trò/quyền bị thay đổi</t>
  </si>
  <si>
    <t>Super Admin vừa đổi vai trò của 1 tài khoản Admin khác</t>
  </si>
  <si>
    <t>1. Super Admin đổi vai trò Admin
2. Kiểm tra Email nội bộ của Admin liên quan</t>
  </si>
  <si>
    <t>Vai trò mới: ke_toan</t>
  </si>
  <si>
    <t>Admin liên quan nhận Email: 'Vai trò của bạn đã được cập nhật thành [ke_toan] bởi [Super Admin].'</t>
  </si>
  <si>
    <t>Kỹ thuật viên nhận Push khi hồ sơ được duyệt</t>
  </si>
  <si>
    <t>Admin vừa duyệt (approved) hồ sơ đăng ký của thợ</t>
  </si>
  <si>
    <t>1. Admin duyệt hồ sơ
2. Kiểm tra Push App trên điện thoại thợ</t>
  </si>
  <si>
    <t>Thợ nhận Push: 'Chúc mừng! Hồ sơ đăng ký của bạn đã được duyệt. Bạn có thể bắt đầu nhận việc.'</t>
  </si>
  <si>
    <t>Kỹ thuật viên nhận Push khi hồ sơ bị từ chối kèm lý do</t>
  </si>
  <si>
    <t>Admin vừa từ chối (rejected) hồ sơ đăng ký của thợ, có nhập lý do</t>
  </si>
  <si>
    <t>1. Admin từ chối hồ sơ, nhập lý do
2. Kiểm tra Push App trên điện thoại thợ</t>
  </si>
  <si>
    <t>Lý do: 'Ảnh CCCD không rõ nét'</t>
  </si>
  <si>
    <t>Thợ nhận Push: 'Hồ sơ đăng ký của bạn chưa được duyệt. Lý do: [Ảnh CCCD không rõ nét].'</t>
  </si>
  <si>
    <t>Khách hàng/Kỹ thuật viên nhận Push/SMS khi tài khoản bị khóa</t>
  </si>
  <si>
    <t>Admin vừa khóa tài khoản khách hàng hoặc thợ, có nhập lý do</t>
  </si>
  <si>
    <t>1. Admin khóa tài khoản, nhập lý do
2. Kiểm tra Push/SMS trên điện thoại người dùng bị khóa</t>
  </si>
  <si>
    <t>Lý do: 'Vi phạm chính sách sử dụng'</t>
  </si>
  <si>
    <t>Người dùng bị khóa nhận Push/SMS: 'Tài khoản của bạn đã bị tạm khóa. Lý do: [Vi phạm chính sách sử dụng]. Liên hệ CSKH để biết thêm chi tiết.'</t>
  </si>
  <si>
    <t>Khách tìm kiếm được dịch vụ mới thêm bằng tên</t>
  </si>
  <si>
    <t>1. Khách nhập tên dịch vụ vào ô tìm kiếm.</t>
  </si>
  <si>
    <t>Từ khóa: Vệ sinh máy lạnh</t>
  </si>
  <si>
    <t>Kết quả tìm kiếm hiển thị dịch vụ vừa thêm.</t>
  </si>
  <si>
    <t>Chặn thêm dịch vụ khi bỏ trống tên</t>
  </si>
  <si>
    <t>Form thêm dịch vụ đang mở</t>
  </si>
  <si>
    <t>1. Để trống tên, nhập các trường khác &gt; Lưu.</t>
  </si>
  <si>
    <t>Hiển thị lỗi trường bắt buộc, không tạo dịch vụ.</t>
  </si>
  <si>
    <t>Chặn thêm dịch vụ khi chưa chọn danh mục</t>
  </si>
  <si>
    <t>1. Nhập tên, giá nhưng không chọn danh mục &gt; Lưu.</t>
  </si>
  <si>
    <t>Danh mục: chưa chọn</t>
  </si>
  <si>
    <t>Hiển thị lỗi yêu cầu chọn danh mục, không tạo dịch vụ.</t>
  </si>
  <si>
    <t>Chặn thêm dịch vụ khi bỏ trống giá</t>
  </si>
  <si>
    <t>1. Nhập tên, chọn danh mục, để trống giá &gt; Lưu.</t>
  </si>
  <si>
    <t>Giá: để trống</t>
  </si>
  <si>
    <t>Hiển thị lỗi trường giá bắt buộc, không tạo dịch vụ.</t>
  </si>
  <si>
    <t>Chặn thêm dịch vụ với giá âm</t>
  </si>
  <si>
    <t>1. Nhập giá âm &gt; Lưu.</t>
  </si>
  <si>
    <t>Giá: -50000</t>
  </si>
  <si>
    <t>Hệ thống báo giá không hợp lệ, không tạo dịch vụ.</t>
  </si>
  <si>
    <t>Chặn thêm dịch vụ với giá nhập là ký tự chữ</t>
  </si>
  <si>
    <t>1. Nhập chữ vào ô giá &gt; Lưu.</t>
  </si>
  <si>
    <t>Giá: abc</t>
  </si>
  <si>
    <t>Ô giá không nhận ký tự chữ hoặc báo lỗi, không tạo dịch vụ.</t>
  </si>
  <si>
    <t>Chặn thêm dịch vụ trùng tên trong cùng danh mục</t>
  </si>
  <si>
    <t>Đã tồn tại dịch vụ 'Vệ sinh máy lạnh' trong danh mục Điện lạnh</t>
  </si>
  <si>
    <t>1. Chọn danh mục Điện lạnh, nhập tên trùng &gt; Lưu.</t>
  </si>
  <si>
    <t>Tên: Vệ sinh máy lạnh</t>
  </si>
  <si>
    <t>Hệ thống báo dịch vụ đã tồn tại trong danh mục, không tạo bản ghi mới.</t>
  </si>
  <si>
    <t>Chặn thêm dịch vụ khi tên vượt quá độ dài tối đa</t>
  </si>
  <si>
    <t>Hệ thống chặn nhập quá giới hạn hoặc báo lỗi, không tạo dịch vụ.</t>
  </si>
  <si>
    <t>Mô tả dịch vụ nhiều dòng hiển thị đúng trên App khách</t>
  </si>
  <si>
    <t>1. Nhập mô tả có nhiều dòng &gt; Lưu.
2. Khách mở chi tiết dịch vụ.</t>
  </si>
  <si>
    <t>Mô tả 3 dòng</t>
  </si>
  <si>
    <t>Mô tả hiển thị đúng xuống dòng, không mất nội dung.</t>
  </si>
  <si>
    <t>Tải lên ảnh dịch vụ đúng định dạng và dung lượng cho phép</t>
  </si>
  <si>
    <t>1. Chọn ảnh JPG/PNG hợp lệ.
2. Nhập các trường còn lại &gt; Lưu.</t>
  </si>
  <si>
    <t>Ảnh JPG hợp lệ</t>
  </si>
  <si>
    <t>Ảnh tải lên thành công, hiển thị đúng ở Web Admin và App khách.</t>
  </si>
  <si>
    <t>Chặn tải lên ảnh dịch vụ sai định dạng hoặc vượt dung lượng</t>
  </si>
  <si>
    <t>1. Chọn file sai định dạng hoặc ảnh vượt dung lượng cho phép.
2. Bấm Lưu.</t>
  </si>
  <si>
    <t>File .exe hoặc ảnh quá dung lượng</t>
  </si>
  <si>
    <t>Hệ thống báo lỗi định dạng/dung lượng, không lưu file.</t>
  </si>
  <si>
    <t>Thêm dịch vụ ở trạng thái Ẩn không hiển thị trên App khách</t>
  </si>
  <si>
    <t>1. Nhập thông tin, chọn trạng thái Ẩn &gt; Lưu.
2. Khách mở App kiểm tra.</t>
  </si>
  <si>
    <t>Dịch vụ tồn tại ở Web Admin nhưng không hiển thị và không tìm thấy trên App khách.</t>
  </si>
  <si>
    <t>Bật hiển thị dịch vụ đang Ẩn thì khách nhìn thấy trên App</t>
  </si>
  <si>
    <t>Dịch vụ đã tạo ở trạng thái Ẩn</t>
  </si>
  <si>
    <t>1. Admin đổi trạng thái sang Hoạt động.
2. Khách làm mới App kiểm tra.</t>
  </si>
  <si>
    <t>Dịch vụ chuyển Ẩn -&gt; Hoạt động</t>
  </si>
  <si>
    <t>Dịch vụ xuất hiện trên App khách sau khi bật hiển thị.</t>
  </si>
  <si>
    <t>Khách đặt được đơn COD hoàn chỉnh với dịch vụ vừa tạo</t>
  </si>
  <si>
    <t>Dịch vụ mới ở trạng thái Hoạt động, khách có địa chỉ</t>
  </si>
  <si>
    <t>1. Khách chọn dịch vụ mới &gt; Đặt lịch.
2. Chọn COD &gt; Xác nhận đặt đơn.</t>
  </si>
  <si>
    <t>Dịch vụ mới; payment_method: cod</t>
  </si>
  <si>
    <t>Đơn tạo thành công, đơn giá và total_amount đúng bằng giá Admin đã thiết lập.</t>
  </si>
  <si>
    <t>Thêm dịch vụ có thời gian thực hiện dự kiến</t>
  </si>
  <si>
    <t>1. Nhập thời gian thực hiện dự kiến &gt; Lưu.
2. Mở chi tiết dịch vụ ở App khách.</t>
  </si>
  <si>
    <t>Thời gian dự kiến: 60 phút</t>
  </si>
  <si>
    <t>Thời gian thực hiện lưu đúng và hiển thị ở chi tiết dịch vụ.</t>
  </si>
  <si>
    <t>Thêm dịch vụ có thời hạn bảo hành</t>
  </si>
  <si>
    <t>1. Nhập thời hạn bảo hành &gt; Lưu.
2. Kiểm tra chi tiết dịch vụ.</t>
  </si>
  <si>
    <t>Bảo hành: 30 ngày</t>
  </si>
  <si>
    <t>Thời hạn bảo hành lưu đúng và hiển thị ở chi tiết dịch vụ.</t>
  </si>
  <si>
    <t>Bấm Hủy trên form thêm dịch vụ không lưu dữ liệu</t>
  </si>
  <si>
    <t>Form thêm dịch vụ đã nhập thông tin</t>
  </si>
  <si>
    <t>1. Bấm Hủy/Đóng form.
2. Kiểm tra danh sách dịch vụ.</t>
  </si>
  <si>
    <t>Form đóng, không tạo dịch vụ mới.</t>
  </si>
  <si>
    <t>Tạo quy tắc giá phụ phí theo phần trăm giá dịch vụ</t>
  </si>
  <si>
    <t>Form thêm quy tắc giá đang mở</t>
  </si>
  <si>
    <t>1. Chọn loại phụ phí theo %.
2. Nhập giá trị % &gt; Lưu.</t>
  </si>
  <si>
    <t>Phụ phí: 10%</t>
  </si>
  <si>
    <t>Quy tắc được lưu với loại phần trăm và giá trị 10%.</t>
  </si>
  <si>
    <t>Tạo quy tắc giá theo ngày trong tuần</t>
  </si>
  <si>
    <t>1. Chọn ngày áp dụng là Thứ 7 và Chủ nhật.
2. Nhập giá trị phụ phí &gt; Lưu.</t>
  </si>
  <si>
    <t>Ngày áp dụng: Thứ 7, Chủ nhật</t>
  </si>
  <si>
    <t>Quy tắc lưu đúng các ngày áp dụng đã chọn.</t>
  </si>
  <si>
    <t>Tạo quy tắc giá theo khoảng ngày (từ ngày - đến ngày)</t>
  </si>
  <si>
    <t>1. Chọn ngày bắt đầu và ngày kết thúc.
2. Nhập giá trị phụ phí &gt; Lưu.</t>
  </si>
  <si>
    <t>Từ 01/10/2026 đến 07/10/2026</t>
  </si>
  <si>
    <t>Quy tắc lưu đúng khoảng thời gian hiệu lực.</t>
  </si>
  <si>
    <t>Chặn lưu quy tắc giá khi thiếu tên quy tắc</t>
  </si>
  <si>
    <t>1. Để trống tên quy tắc, nhập các trường khác &gt; Lưu.</t>
  </si>
  <si>
    <t>Tên quy tắc: để trống</t>
  </si>
  <si>
    <t>Hiển thị lỗi trường bắt buộc, không tạo quy tắc.</t>
  </si>
  <si>
    <t>Chặn lưu quy tắc giá theo phần trăm khi giá trị không hợp lệ</t>
  </si>
  <si>
    <t>Form thêm quy tắc theo % đang mở</t>
  </si>
  <si>
    <t>1. Nhập giá trị % âm hoặc ký tự chữ &gt; Lưu.</t>
  </si>
  <si>
    <t>Phụ phí: -5% và abc</t>
  </si>
  <si>
    <t>Hệ thống báo giá trị phần trăm không hợp lệ, không tạo quy tắc.</t>
  </si>
  <si>
    <t>Chặn lưu quy tắc giá khi giờ bắt đầu lớn hơn hoặc bằng giờ kết thúc</t>
  </si>
  <si>
    <t>1. Nhập giờ bắt đầu 22:00, giờ kết thúc 18:00 &gt; Lưu.</t>
  </si>
  <si>
    <t>Khung giờ: 22:00 - 18:00</t>
  </si>
  <si>
    <t>Hệ thống báo khung giờ không hợp lệ, không tạo quy tắc.</t>
  </si>
  <si>
    <t>Quy tắc giá mới ở trạng thái hoạt động hiển thị trong danh sách</t>
  </si>
  <si>
    <t>Admin vừa tạo quy tắc giá</t>
  </si>
  <si>
    <t>1. Quay lại danh sách quy tắc giá.</t>
  </si>
  <si>
    <t>Quy tắc vừa tạo</t>
  </si>
  <si>
    <t>Quy tắc hiển thị đúng tên, phạm vi, giá trị, thời gian áp dụng và trạng thái Hoạt động.</t>
  </si>
  <si>
    <t>Đặt đơn COD trong khung giờ áp dụng quy tắc thì cộng đúng phụ phí</t>
  </si>
  <si>
    <t>Có quy tắc phụ phí hoạt động cho khung giờ 18:00 - 22:00</t>
  </si>
  <si>
    <t>1. Khách chọn dịch vụ áp dụng quy tắc.
2. Chọn giờ hẹn 19:00 &gt; COD &gt; Xác nhận đặt đơn.</t>
  </si>
  <si>
    <t>Giờ hẹn: 19:00; Phụ phí: 50.000đ</t>
  </si>
  <si>
    <t>total_amount của đơn bằng giá dịch vụ cộng đúng phụ phí của quy tắc.</t>
  </si>
  <si>
    <t>Đặt đơn COD ngoài khung giờ áp dụng thì không cộng phụ phí</t>
  </si>
  <si>
    <t>1. Khách chọn dịch vụ áp dụng quy tắc.
2. Chọn giờ hẹn 10:00 &gt; COD &gt; Xác nhận đặt đơn.</t>
  </si>
  <si>
    <t>Giờ hẹn: 10:00</t>
  </si>
  <si>
    <t>total_amount bằng giá dịch vụ gốc, không có phụ phí.</t>
  </si>
  <si>
    <t>App khách hiển thị rõ dòng phụ phí ở màn xác nhận đơn</t>
  </si>
  <si>
    <t>Có quy tắc phụ phí phù hợp với giờ hẹn khách chọn</t>
  </si>
  <si>
    <t>1. Khách chọn giờ hẹn thuộc khung giờ phụ phí.
2. Xem màn xác nhận đơn.</t>
  </si>
  <si>
    <t>Giờ hẹn thuộc khung phụ phí</t>
  </si>
  <si>
    <t>Màn xác nhận hiển thị riêng dòng phụ phí và tổng tiền đã cộng phụ phí.</t>
  </si>
  <si>
    <t>Quy tắc giá bị tắt không áp dụng khi khách đặt đơn</t>
  </si>
  <si>
    <t>Quy tắc giá đang ở trạng thái Tắt</t>
  </si>
  <si>
    <t>1. Khách đặt đơn COD ở khung giờ thuộc quy tắc.</t>
  </si>
  <si>
    <t>Quy tắc: Tắt</t>
  </si>
  <si>
    <t>Đơn không bị cộng phụ phí, total_amount bằng giá dịch vụ gốc.</t>
  </si>
  <si>
    <t>Đơn đã tạo trước đó không bị ảnh hưởng khi thêm quy tắc giá mới</t>
  </si>
  <si>
    <t>Có đơn COD đã tạo trước khi thêm quy tắc</t>
  </si>
  <si>
    <t>1. Admin thêm quy tắc giá mới cho dịch vụ đó.
2. Mở lại đơn cũ.</t>
  </si>
  <si>
    <t>Đơn cũ pending_confirm</t>
  </si>
  <si>
    <t>total_amount của đơn cũ giữ nguyên, không bị tính lại theo quy tắc mới.</t>
  </si>
  <si>
    <t>Đơn vừa có phụ phí vừa có mã giảm giá tính đúng total_amount</t>
  </si>
  <si>
    <t>Có quy tắc phụ phí và voucher còn hiệu lực</t>
  </si>
  <si>
    <t>1. Khách chọn giờ hẹn thuộc khung phụ phí.
2. Áp mã giảm giá &gt; COD &gt; Xác nhận đặt đơn.</t>
  </si>
  <si>
    <t>Giờ hẹn thuộc khung phụ phí; Voucher: 'Giảm 20%'</t>
  </si>
  <si>
    <t>total_amount phản ánh đúng cả phụ phí và discount_amount theo công thức tính total_amount của hệ thống.</t>
  </si>
  <si>
    <t>Admin tạo voucher giảm theo phần trăm hợp lệ</t>
  </si>
  <si>
    <t>1. Vào Quản lý mã giảm giá &gt; Bấm Thêm mã.
2. Nhập mã, loại giảm %, giá trị, thời gian hiệu lực, số lượt dùng.
3. Bấm Lưu.</t>
  </si>
  <si>
    <t>Mã: GIAM20; Giảm: 20%; Số lượt: 100</t>
  </si>
  <si>
    <t>Voucher được tạo thành công ở trạng thái Hoạt động.</t>
  </si>
  <si>
    <t>Admin tạo voucher giảm số tiền cố định</t>
  </si>
  <si>
    <t>Form thêm mã giảm giá đang mở</t>
  </si>
  <si>
    <t>1. Chọn loại giảm số tiền cố định.
2. Nhập giá trị giảm &gt; Lưu.</t>
  </si>
  <si>
    <t>Mã: GIAM50K; Giảm: 50.000đ</t>
  </si>
  <si>
    <t>Voucher được tạo với loại giảm cố định và giá trị 50.000đ.</t>
  </si>
  <si>
    <t>Tạo voucher có mức giảm tối đa</t>
  </si>
  <si>
    <t>Form thêm mã giảm giá loại % đang mở</t>
  </si>
  <si>
    <t>1. Nhập giá trị % và mức giảm tối đa &gt; Lưu.</t>
  </si>
  <si>
    <t>Giảm: 20%; Tối đa: 100.000đ</t>
  </si>
  <si>
    <t>Voucher lưu đúng giá trị % và mức giảm tối đa.</t>
  </si>
  <si>
    <t>Tạo voucher có giá trị đơn tối thiểu</t>
  </si>
  <si>
    <t>1. Nhập giá trị đơn tối thiểu &gt; Lưu.</t>
  </si>
  <si>
    <t>Đơn tối thiểu: 300.000đ</t>
  </si>
  <si>
    <t>Voucher lưu đúng điều kiện đơn tối thiểu.</t>
  </si>
  <si>
    <t>Chặn tạo voucher giảm phần trăm lớn hơn 100%</t>
  </si>
  <si>
    <t>1. Nhập giá trị giảm 150% &gt; Lưu.</t>
  </si>
  <si>
    <t>Giảm: 150%</t>
  </si>
  <si>
    <t>Hệ thống báo giá trị phần trăm không hợp lệ, không tạo voucher.</t>
  </si>
  <si>
    <t>Chặn tạo voucher với giá trị giảm bằng 0 hoặc âm</t>
  </si>
  <si>
    <t>1. Nhập giá trị giảm 0 rồi -10000 &gt; Lưu.</t>
  </si>
  <si>
    <t>Giảm: 0 và -10000</t>
  </si>
  <si>
    <t>Hệ thống báo giá trị giảm không hợp lệ, không tạo voucher.</t>
  </si>
  <si>
    <t>Chặn tạo voucher khi ngày kết thúc nhỏ hơn ngày bắt đầu</t>
  </si>
  <si>
    <t>1. Nhập ngày kết thúc trước ngày bắt đầu &gt; Lưu.</t>
  </si>
  <si>
    <t>Từ 30/09/2026 đến 01/09/2026</t>
  </si>
  <si>
    <t>Hệ thống báo khoảng thời gian không hợp lệ, không tạo voucher.</t>
  </si>
  <si>
    <t>Chặn tạo voucher với số lượt sử dụng bằng 0 hoặc âm</t>
  </si>
  <si>
    <t>1. Nhập số lượt sử dụng 0 rồi -5 &gt; Lưu.</t>
  </si>
  <si>
    <t>Số lượt: 0 và -5</t>
  </si>
  <si>
    <t>Hệ thống báo số lượt không hợp lệ, không tạo voucher.</t>
  </si>
  <si>
    <t>Voucher mới tạo hiển thị trong danh sách với trạng thái Hoạt động</t>
  </si>
  <si>
    <t>Admin vừa tạo voucher mới</t>
  </si>
  <si>
    <t>1. Quay lại danh sách mã giảm giá.</t>
  </si>
  <si>
    <t>Voucher vừa tạo</t>
  </si>
  <si>
    <t>Voucher hiển thị đúng mã, loại giảm, giá trị, thời gian hiệu lực, số lượt còn lại và trạng thái Hoạt động.</t>
  </si>
  <si>
    <t>Khách áp mã giảm giá vừa tạo cho đơn COD</t>
  </si>
  <si>
    <t>Voucher mới tạo còn hiệu lực, đơn đủ điều kiện</t>
  </si>
  <si>
    <t>1. Khách chọn dịch vụ &gt; Đặt lịch.
2. Nhập mã voucher &gt; Áp dụng.
3. Chọn COD &gt; Xác nhận đặt đơn.</t>
  </si>
  <si>
    <t>Mã: GIAM20; payment_method: cod</t>
  </si>
  <si>
    <t>Backend lưu voucher_code, tính đúng discount_amount và total_amount theo cấu hình voucher.</t>
  </si>
  <si>
    <t>Khách áp voucher chưa đến ngày bắt đầu hiệu lực</t>
  </si>
  <si>
    <t>Voucher có ngày bắt đầu ở tương lai</t>
  </si>
  <si>
    <t>1. Khách nhập mã voucher &gt; Áp dụng.</t>
  </si>
  <si>
    <t>Voucher chưa hiệu lực</t>
  </si>
  <si>
    <t>Hệ thống báo mã chưa đến thời gian áp dụng, không giảm giá.</t>
  </si>
  <si>
    <t>Khách áp voucher đã hết số lượt sử dụng</t>
  </si>
  <si>
    <t>Voucher đã dùng hết số lượt</t>
  </si>
  <si>
    <t>Voucher hết lượt</t>
  </si>
  <si>
    <t>Hệ thống báo mã đã hết lượt sử dụng, không giảm giá.</t>
  </si>
  <si>
    <t>Khách áp voucher khi đơn chưa đạt giá trị tối thiểu</t>
  </si>
  <si>
    <t>Voucher yêu cầu đơn tối thiểu 300.000đ</t>
  </si>
  <si>
    <t>1. Khách chọn dịch vụ có tổng tiền nhỏ hơn 300.000đ.
2. Nhập mã voucher &gt; Áp dụng.</t>
  </si>
  <si>
    <t>Đơn 200.000đ; Tối thiểu 300.000đ</t>
  </si>
  <si>
    <t>Hệ thống báo đơn chưa đủ điều kiện áp dụng, không giảm giá.</t>
  </si>
  <si>
    <t>Voucher giảm phần trăm bị giới hạn bởi mức giảm tối đa</t>
  </si>
  <si>
    <t>Voucher giảm 20% tối đa 100.000đ</t>
  </si>
  <si>
    <t>1. Khách chọn đơn có tổng 1.000.000đ.
2. Áp mã voucher.</t>
  </si>
  <si>
    <t>Đơn 1.000.000đ; Giảm 20%; Tối đa 100.000đ</t>
  </si>
  <si>
    <t>discount_amount là 100.000đ (không phải 200.000đ), total_amount = 900.000đ.</t>
  </si>
  <si>
    <t>Voucher giới hạn mỗi khách chỉ dùng 1 lần</t>
  </si>
  <si>
    <t>Voucher cấu hình giới hạn mỗi khách 1 lần, khách đã dùng mã ở đơn trước</t>
  </si>
  <si>
    <t>1. Khách nhập lại cùng mã ở đơn mới &gt; Áp dụng.</t>
  </si>
  <si>
    <t>Khách đã dùng mã</t>
  </si>
  <si>
    <t>Hệ thống báo bạn đã sử dụng mã này, không giảm giá.</t>
  </si>
  <si>
    <t>Voucher đang tắt (inactive) không thể áp dụng</t>
  </si>
  <si>
    <t>Admin đã tắt voucher</t>
  </si>
  <si>
    <t>Voucher Tắt</t>
  </si>
  <si>
    <t>Hệ thống báo mã không hợp lệ, không giảm giá.</t>
  </si>
  <si>
    <t>Số lượt sử dụng còn lại của voucher giảm sau khi đơn tạo thành công</t>
  </si>
  <si>
    <t>Voucher còn 100 lượt</t>
  </si>
  <si>
    <t>1. Khách tạo đơn COD áp dụng voucher.
2. Admin xem lại voucher trong danh sách.</t>
  </si>
  <si>
    <t>Số lượt ban đầu: 100</t>
  </si>
  <si>
    <t>Số lượt còn lại giảm còn 99 và tăng số lượt đã dùng tương ứng.</t>
  </si>
  <si>
    <t>Khách hàng/Kỹ thuật viên nhận Push khi tài khoản được mở khóa</t>
  </si>
  <si>
    <t>Admin vừa mở khóa tài khoản khách hàng hoặc thợ</t>
  </si>
  <si>
    <t>1. Admin mở khóa tài khoản
2. Kiểm tra Push App trên điện thoại người dùng</t>
  </si>
  <si>
    <t>Người dùng nhận Push: 'Tài khoản của bạn đã được mở khóa và có thể sử dụng bình thường.'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</si>
</sst>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/yyyy"/>
    <numFmt numFmtId="166" formatCode="0.0%"/>
  </numFmts>
  <fonts count="16">
    <font>
      <sz val="10.0"/>
      <color rgb="FF000000"/>
      <name val="Arial"/>
      <scheme val="minor"/>
    </font>
    <font>
      <b/>
      <sz val="16.0"/>
      <color rgb="FF1F3864"/>
      <name val="Roboto"/>
    </font>
    <font>
      <b/>
      <sz val="10.0"/>
      <color rgb="FFFFFFFF"/>
      <name val="Roboto"/>
    </font>
    <font>
      <sz val="10.0"/>
      <color theme="1"/>
      <name val="Roboto"/>
    </font>
    <font>
      <color theme="1"/>
      <name val="Roboto"/>
    </font>
    <font>
      <color rgb="FF000000"/>
      <name val="Arial"/>
    </font>
    <font>
      <b/>
      <color rgb="FF000000"/>
      <name val="Roboto"/>
    </font>
    <font>
      <color rgb="FF000000"/>
      <name val="Roboto"/>
    </font>
    <font>
      <b/>
      <sz val="12.0"/>
      <color rgb="FF2E5EAA"/>
      <name val="Roboto"/>
    </font>
    <font>
      <b/>
      <color theme="1"/>
      <name val="Roboto"/>
    </font>
    <font>
      <b/>
      <color rgb="FF2E7D32"/>
      <name val="Roboto"/>
    </font>
    <font>
      <b/>
      <color rgb="FFC00000"/>
      <name val="Roboto"/>
    </font>
    <font>
      <b/>
      <color rgb="FFE07B00"/>
      <name val="Roboto"/>
    </font>
    <font>
      <b/>
      <color rgb="FF757575"/>
      <name val="Roboto"/>
    </font>
    <font>
      <b/>
      <color rgb="FF2E5EAA"/>
      <name val="Roboto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E2F0D9"/>
        <bgColor rgb="FFE2F0D9"/>
      </patternFill>
    </fill>
    <fill>
      <patternFill patternType="solid">
        <fgColor rgb="FFFCE4E4"/>
        <bgColor rgb="FFFCE4E4"/>
      </patternFill>
    </fill>
    <fill>
      <patternFill patternType="solid">
        <fgColor rgb="FFFDEBD3"/>
        <bgColor rgb="FFFDEBD3"/>
      </patternFill>
    </fill>
    <fill>
      <patternFill patternType="solid">
        <fgColor rgb="FFF2F2F2"/>
        <bgColor rgb="FFF2F2F2"/>
      </patternFill>
    </fill>
    <fill>
      <patternFill patternType="solid">
        <fgColor rgb="FFE7E6E6"/>
        <bgColor rgb="FFE7E6E6"/>
      </patternFill>
    </fill>
  </fills>
  <borders count="14">
    <border/>
    <border>
      <left style="thin">
        <color rgb="FF284E3F"/>
      </left>
      <right style="thin">
        <color rgb="FF356854"/>
      </right>
      <top style="thin">
        <color rgb="FF284E3F"/>
      </top>
    </border>
    <border>
      <left style="thin">
        <color rgb="FF356854"/>
      </left>
      <right style="thin">
        <color rgb="FF356854"/>
      </right>
      <top style="thin">
        <color rgb="FF284E3F"/>
      </top>
    </border>
    <border>
      <left style="thin">
        <color rgb="FF356854"/>
      </left>
      <right style="thin">
        <color rgb="FF284E3F"/>
      </right>
      <top style="thin">
        <color rgb="FF284E3F"/>
      </top>
    </border>
    <border>
      <left style="thin">
        <color rgb="FFCCCCCC"/>
      </left>
      <right style="thin">
        <color rgb="FFD8D8D8"/>
      </right>
      <top style="thin">
        <color rgb="FFCCCCCC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CCCCCC"/>
      </top>
      <bottom style="thin">
        <color rgb="FFD8D8D8"/>
      </bottom>
    </border>
    <border>
      <left style="thin">
        <color rgb="FFD8D8D8"/>
      </left>
      <right style="thin">
        <color rgb="FFCCCCCC"/>
      </right>
      <top style="thin">
        <color rgb="FFCCCCCC"/>
      </top>
      <bottom style="thin">
        <color rgb="FFD8D8D8"/>
      </bottom>
    </border>
    <border>
      <left style="thin">
        <color rgb="FFCCCCCC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CCCCCC"/>
      </right>
      <top style="thin">
        <color rgb="FFD8D8D8"/>
      </top>
      <bottom style="thin">
        <color rgb="FFD8D8D8"/>
      </bottom>
    </border>
    <border>
      <left style="thin">
        <color rgb="FFCCCCCC"/>
      </left>
      <right style="thin">
        <color rgb="FFD8D8D8"/>
      </right>
      <top style="thin">
        <color rgb="FFD8D8D8"/>
      </top>
      <bottom style="thin">
        <color rgb="FFCCCCCC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CCCCCC"/>
      </bottom>
    </border>
    <border>
      <left style="thin">
        <color rgb="FFD8D8D8"/>
      </left>
      <right style="thin">
        <color rgb="FFCCCCCC"/>
      </right>
      <top style="thin">
        <color rgb="FFD8D8D8"/>
      </top>
      <bottom style="thin">
        <color rgb="FFCCCCCC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2" fontId="2" numFmtId="0" xfId="0" applyAlignment="1" applyBorder="1" applyFill="1" applyFont="1">
      <alignment horizontal="center" readingOrder="0" shrinkToFit="0" vertical="center" wrapText="1"/>
    </xf>
    <xf borderId="3" fillId="2" fontId="2" numFmtId="0" xfId="0" applyAlignment="1" applyBorder="1" applyFill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shrinkToFit="0" vertical="top" wrapText="1"/>
    </xf>
    <xf borderId="5" fillId="0" fontId="3" numFmtId="0" xfId="0" applyAlignment="1" applyBorder="1" applyFont="1">
      <alignment shrinkToFit="0" vertical="top" wrapText="1"/>
    </xf>
    <xf borderId="5" fillId="0" fontId="3" numFmtId="0" xfId="0" applyAlignment="1" applyBorder="1" applyFont="1">
      <alignment horizontal="center" shrinkToFit="0" vertical="top" wrapText="1"/>
    </xf>
    <xf borderId="6" fillId="0" fontId="3" numFmtId="164" xfId="0" applyAlignment="1" applyBorder="1" applyFont="1" applyNumberFormat="1">
      <alignment horizontal="center" shrinkToFit="0" vertical="top" wrapText="1"/>
    </xf>
    <xf borderId="0" fillId="0" fontId="4" numFmtId="0" xfId="0" applyAlignment="1" applyFont="1">
      <alignment readingOrder="0"/>
    </xf>
    <xf borderId="7" fillId="0" fontId="3" numFmtId="0" xfId="0" applyAlignment="1" applyBorder="1" applyFont="1">
      <alignment horizontal="center" shrinkToFit="0" vertical="top" wrapText="1"/>
    </xf>
    <xf borderId="0" fillId="0" fontId="4" numFmtId="0" xfId="0" applyFont="1"/>
    <xf borderId="8" fillId="0" fontId="3" numFmtId="0" xfId="0" applyAlignment="1" applyBorder="1" applyFont="1">
      <alignment shrinkToFit="0" vertical="top" wrapText="1"/>
    </xf>
    <xf borderId="8" fillId="0" fontId="3" numFmtId="0" xfId="0" applyAlignment="1" applyBorder="1" applyFont="1">
      <alignment horizontal="center" shrinkToFit="0" vertical="top" wrapText="1"/>
    </xf>
    <xf borderId="9" fillId="0" fontId="3" numFmtId="0" xfId="0" applyAlignment="1" applyBorder="1" applyFont="1">
      <alignment horizontal="center" shrinkToFit="0" vertical="top" wrapText="1"/>
    </xf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horizontal="center" readingOrder="0"/>
    </xf>
    <xf borderId="10" fillId="0" fontId="3" numFmtId="0" xfId="0" applyAlignment="1" applyBorder="1" applyFont="1">
      <alignment horizontal="center" shrinkToFit="0" vertical="top" wrapText="1"/>
    </xf>
    <xf borderId="11" fillId="0" fontId="3" numFmtId="0" xfId="0" applyAlignment="1" applyBorder="1" applyFont="1">
      <alignment shrinkToFit="0" vertical="top" wrapText="1"/>
    </xf>
    <xf borderId="11" fillId="0" fontId="3" numFmtId="0" xfId="0" applyAlignment="1" applyBorder="1" applyFont="1">
      <alignment horizontal="center" shrinkToFit="0" vertical="top" wrapText="1"/>
    </xf>
    <xf borderId="12" fillId="0" fontId="3" numFmtId="0" xfId="0" applyAlignment="1" applyBorder="1" applyFont="1">
      <alignment horizontal="center" shrinkToFit="0" vertical="top" wrapText="1"/>
    </xf>
    <xf borderId="0" fillId="0" fontId="3" numFmtId="0" xfId="0" applyAlignment="1" applyFont="1">
      <alignment horizontal="center"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horizontal="righ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righ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164" xfId="0" applyAlignment="1" applyFont="1" applyNumberForma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165" xfId="0" applyAlignment="1" applyFont="1" applyNumberFormat="1">
      <alignment horizontal="left"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horizontal="center" readingOrder="0" shrinkToFit="0" vertical="center" wrapText="0"/>
    </xf>
    <xf borderId="13" fillId="3" fontId="10" numFmtId="0" xfId="0" applyAlignment="1" applyBorder="1" applyFill="1" applyFont="1">
      <alignment readingOrder="0" shrinkToFit="0" vertical="bottom" wrapText="0"/>
    </xf>
    <xf borderId="13" fillId="3" fontId="5" numFmtId="0" xfId="0" applyAlignment="1" applyBorder="1" applyFill="1" applyFont="1">
      <alignment horizontal="center" readingOrder="0" shrinkToFit="0" vertical="bottom" wrapText="0"/>
    </xf>
    <xf borderId="13" fillId="3" fontId="5" numFmtId="166" xfId="0" applyAlignment="1" applyBorder="1" applyFill="1" applyFont="1" applyNumberFormat="1">
      <alignment readingOrder="0" shrinkToFit="0" vertical="bottom" wrapText="0"/>
    </xf>
    <xf borderId="13" fillId="4" fontId="11" numFmtId="0" xfId="0" applyAlignment="1" applyBorder="1" applyFill="1" applyFont="1">
      <alignment readingOrder="0" shrinkToFit="0" vertical="bottom" wrapText="0"/>
    </xf>
    <xf borderId="13" fillId="4" fontId="5" numFmtId="0" xfId="0" applyAlignment="1" applyBorder="1" applyFill="1" applyFont="1">
      <alignment horizontal="center" readingOrder="0" shrinkToFit="0" vertical="bottom" wrapText="0"/>
    </xf>
    <xf borderId="13" fillId="4" fontId="5" numFmtId="166" xfId="0" applyAlignment="1" applyBorder="1" applyFill="1" applyFont="1" applyNumberFormat="1">
      <alignment readingOrder="0" shrinkToFit="0" vertical="bottom" wrapText="0"/>
    </xf>
    <xf borderId="13" fillId="5" fontId="12" numFmtId="0" xfId="0" applyAlignment="1" applyBorder="1" applyFill="1" applyFont="1">
      <alignment readingOrder="0" shrinkToFit="0" vertical="bottom" wrapText="0"/>
    </xf>
    <xf borderId="13" fillId="5" fontId="5" numFmtId="0" xfId="0" applyAlignment="1" applyBorder="1" applyFill="1" applyFont="1">
      <alignment horizontal="center" readingOrder="0" shrinkToFit="0" vertical="bottom" wrapText="0"/>
    </xf>
    <xf borderId="13" fillId="5" fontId="5" numFmtId="166" xfId="0" applyAlignment="1" applyBorder="1" applyFill="1" applyFont="1" applyNumberFormat="1">
      <alignment readingOrder="0" shrinkToFit="0" vertical="bottom" wrapText="0"/>
    </xf>
    <xf borderId="13" fillId="6" fontId="13" numFmtId="0" xfId="0" applyAlignment="1" applyBorder="1" applyFill="1" applyFont="1">
      <alignment readingOrder="0" shrinkToFit="0" vertical="bottom" wrapText="0"/>
    </xf>
    <xf borderId="13" fillId="6" fontId="5" numFmtId="0" xfId="0" applyAlignment="1" applyBorder="1" applyFill="1" applyFont="1">
      <alignment horizontal="center" readingOrder="0" shrinkToFit="0" vertical="bottom" wrapText="0"/>
    </xf>
    <xf borderId="13" fillId="6" fontId="5" numFmtId="166" xfId="0" applyAlignment="1" applyBorder="1" applyFill="1" applyFont="1" applyNumberFormat="1">
      <alignment readingOrder="0" shrinkToFit="0" vertical="bottom" wrapText="0"/>
    </xf>
    <xf borderId="13" fillId="7" fontId="6" numFmtId="0" xfId="0" applyAlignment="1" applyBorder="1" applyFill="1" applyFont="1">
      <alignment readingOrder="0" shrinkToFit="0" vertical="bottom" wrapText="0"/>
    </xf>
    <xf borderId="13" fillId="7" fontId="6" numFmtId="0" xfId="0" applyAlignment="1" applyBorder="1" applyFill="1" applyFont="1">
      <alignment horizontal="center" readingOrder="0" shrinkToFit="0" vertical="bottom" wrapText="0"/>
    </xf>
    <xf borderId="13" fillId="7" fontId="6" numFmtId="166" xfId="0" applyAlignment="1" applyBorder="1" applyFill="1" applyFont="1" applyNumberFormat="1">
      <alignment readingOrder="0" shrinkToFit="0" vertical="bottom" wrapText="0"/>
    </xf>
    <xf borderId="0" fillId="0" fontId="14" numFmtId="10" xfId="0" applyAlignment="1" applyFont="1" applyNumberFormat="1">
      <alignment horizontal="right" readingOrder="0" shrinkToFit="0" vertical="bottom" wrapText="0"/>
    </xf>
    <xf borderId="13" fillId="0" fontId="7" numFmtId="0" xfId="0" applyAlignment="1" applyBorder="1" applyFont="1">
      <alignment readingOrder="0" shrinkToFit="0" vertical="bottom" wrapText="0"/>
    </xf>
    <xf borderId="13" fillId="0" fontId="5" numFmtId="0" xfId="0" applyAlignment="1" applyBorder="1" applyFont="1">
      <alignment horizontal="center" readingOrder="0" shrinkToFit="0" vertical="bottom" wrapText="0"/>
    </xf>
    <xf borderId="13" fillId="0" fontId="5" numFmtId="10" xfId="0" applyAlignment="1" applyBorder="1" applyFont="1" applyNumberFormat="1">
      <alignment readingOrder="0" shrinkToFit="0" vertical="bottom" wrapText="0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readingOrder="0" shrinkToFit="0" vertical="center" wrapText="0"/>
    </xf>
    <xf borderId="0" fillId="0" fontId="15" numFmtId="164" xfId="0" applyAlignment="1" applyFont="1" applyNumberFormat="1">
      <alignment shrinkToFit="0" vertical="center" wrapText="0"/>
    </xf>
    <xf borderId="0" fillId="0" fontId="4" numFmtId="0" xfId="0" applyAlignment="1" applyFont="1">
      <alignment horizontal="right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DD9D4"/>
          <bgColor rgb="FFCDD9D4"/>
        </patternFill>
      </fill>
      <border/>
    </dxf>
  </dxfs>
  <tableStyles count="4">
    <tableStyle count="4" pivot="0" name="Danh sách Test Cas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ổng hợp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ổng hợp 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Tổng hợp -style 3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Tỷ lệ trạng thái Test Case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B7B7B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'Tổng hợp '!$A$12:$A$15</c:f>
            </c:strRef>
          </c:cat>
          <c:val>
            <c:numRef>
              <c:f>'Tổng hợp '!$C$12:$C$15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Kết quả thực thi theo Module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'Tổng hợp '!$B$31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Ref>
              <c:f>'Tổng hợp '!$A$32:$A$41</c:f>
            </c:strRef>
          </c:cat>
          <c:val>
            <c:numRef>
              <c:f>'Tổng hợp '!$B$32:$B$41</c:f>
              <c:numCache/>
            </c:numRef>
          </c:val>
        </c:ser>
        <c:ser>
          <c:idx val="1"/>
          <c:order val="1"/>
          <c:tx>
            <c:strRef>
              <c:f>'Tổng hợp '!$C$31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'Tổng hợp '!$A$32:$A$41</c:f>
            </c:strRef>
          </c:cat>
          <c:val>
            <c:numRef>
              <c:f>'Tổng hợp '!$C$32:$C$41</c:f>
              <c:numCache/>
            </c:numRef>
          </c:val>
        </c:ser>
        <c:ser>
          <c:idx val="2"/>
          <c:order val="2"/>
          <c:tx>
            <c:strRef>
              <c:f>'Tổng hợp '!$D$31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'Tổng hợp '!$A$32:$A$41</c:f>
            </c:strRef>
          </c:cat>
          <c:val>
            <c:numRef>
              <c:f>'Tổng hợp '!$D$32:$D$41</c:f>
              <c:numCache/>
            </c:numRef>
          </c:val>
        </c:ser>
        <c:ser>
          <c:idx val="3"/>
          <c:order val="3"/>
          <c:tx>
            <c:strRef>
              <c:f>'Tổng hợp '!$E$31</c:f>
            </c:strRef>
          </c:tx>
          <c:spPr>
            <a:solidFill>
              <a:srgbClr val="B7B7B7"/>
            </a:solidFill>
            <a:ln cmpd="sng">
              <a:noFill/>
            </a:ln>
          </c:spPr>
          <c:invertIfNegative val="0"/>
          <c:cat>
            <c:strRef>
              <c:f>'Tổng hợp '!$A$32:$A$41</c:f>
            </c:strRef>
          </c:cat>
          <c:val>
            <c:numRef>
              <c:f>'Tổng hợp '!$E$32:$E$41</c:f>
              <c:numCache/>
            </c:numRef>
          </c:val>
        </c:ser>
        <c:overlap val="100"/>
        <c:axId val="703466552"/>
        <c:axId val="1937368024"/>
      </c:barChart>
      <c:catAx>
        <c:axId val="703466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7368024"/>
      </c:catAx>
      <c:valAx>
        <c:axId val="19373680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34665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1571625</xdr:colOff>
      <xdr:row>0</xdr:row>
      <xdr:rowOff>219075</xdr:rowOff>
    </xdr:from>
    <xdr:ext cx="2019300" cy="685800"/>
    <xdr:sp>
      <xdr:nvSpPr>
        <xdr:cNvPr id="3" name="Shape 3"/>
        <xdr:cNvSpPr/>
      </xdr:nvSpPr>
      <xdr:spPr>
        <a:xfrm>
          <a:off x="1343400" y="1572275"/>
          <a:ext cx="2000100" cy="666600"/>
        </a:xfrm>
        <a:prstGeom prst="flowChartAlternateProcess">
          <a:avLst/>
        </a:prstGeom>
        <a:solidFill>
          <a:srgbClr val="38761D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PASS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3</xdr:col>
      <xdr:colOff>1171575</xdr:colOff>
      <xdr:row>0</xdr:row>
      <xdr:rowOff>219075</xdr:rowOff>
    </xdr:from>
    <xdr:ext cx="2019300" cy="685800"/>
    <xdr:sp>
      <xdr:nvSpPr>
        <xdr:cNvPr id="4" name="Shape 4"/>
        <xdr:cNvSpPr/>
      </xdr:nvSpPr>
      <xdr:spPr>
        <a:xfrm>
          <a:off x="1950425" y="1333450"/>
          <a:ext cx="1761300" cy="696600"/>
        </a:xfrm>
        <a:prstGeom prst="flowChartAlternateProcess">
          <a:avLst/>
        </a:prstGeom>
        <a:solidFill>
          <a:srgbClr val="CC0000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highlight>
                <a:srgbClr val="CC0000"/>
              </a:highlight>
            </a:rPr>
            <a:t>FAIL</a:t>
          </a:r>
          <a:endParaRPr b="1" sz="1400">
            <a:solidFill>
              <a:srgbClr val="FFFFFF"/>
            </a:solidFill>
            <a:highlight>
              <a:srgbClr val="CC0000"/>
            </a:highlight>
          </a:endParaRPr>
        </a:p>
      </xdr:txBody>
    </xdr:sp>
    <xdr:clientData fLocksWithSheet="0"/>
  </xdr:oneCellAnchor>
  <xdr:oneCellAnchor>
    <xdr:from>
      <xdr:col>4</xdr:col>
      <xdr:colOff>676275</xdr:colOff>
      <xdr:row>0</xdr:row>
      <xdr:rowOff>228600</xdr:rowOff>
    </xdr:from>
    <xdr:ext cx="2028825" cy="685800"/>
    <xdr:sp>
      <xdr:nvSpPr>
        <xdr:cNvPr id="5" name="Shape 5"/>
        <xdr:cNvSpPr/>
      </xdr:nvSpPr>
      <xdr:spPr>
        <a:xfrm>
          <a:off x="2438025" y="1403100"/>
          <a:ext cx="2010000" cy="676800"/>
        </a:xfrm>
        <a:prstGeom prst="flowChartAlternateProcess">
          <a:avLst/>
        </a:prstGeom>
        <a:solidFill>
          <a:srgbClr val="F1C232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BLOCK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5</xdr:col>
      <xdr:colOff>180975</xdr:colOff>
      <xdr:row>0</xdr:row>
      <xdr:rowOff>238125</xdr:rowOff>
    </xdr:from>
    <xdr:ext cx="2019300" cy="666750"/>
    <xdr:sp>
      <xdr:nvSpPr>
        <xdr:cNvPr id="6" name="Shape 6"/>
        <xdr:cNvSpPr/>
      </xdr:nvSpPr>
      <xdr:spPr>
        <a:xfrm>
          <a:off x="3174425" y="1681750"/>
          <a:ext cx="1950300" cy="686700"/>
        </a:xfrm>
        <a:prstGeom prst="flowChartAlternateProcess">
          <a:avLst/>
        </a:prstGeom>
        <a:solidFill>
          <a:srgbClr val="B7B7B7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CHƯA TEST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5</xdr:col>
      <xdr:colOff>2533650</xdr:colOff>
      <xdr:row>0</xdr:row>
      <xdr:rowOff>228600</xdr:rowOff>
    </xdr:from>
    <xdr:ext cx="2019300" cy="666750"/>
    <xdr:sp>
      <xdr:nvSpPr>
        <xdr:cNvPr id="7" name="Shape 7"/>
        <xdr:cNvSpPr/>
      </xdr:nvSpPr>
      <xdr:spPr>
        <a:xfrm>
          <a:off x="3124650" y="1741450"/>
          <a:ext cx="2010300" cy="756300"/>
        </a:xfrm>
        <a:prstGeom prst="flowChartAlternateProcess">
          <a:avLst/>
        </a:prstGeom>
        <a:solidFill>
          <a:srgbClr val="76A5A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TẤT CẢ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657225</xdr:colOff>
      <xdr:row>9</xdr:row>
      <xdr:rowOff>0</xdr:rowOff>
    </xdr:from>
    <xdr:ext cx="4286250" cy="2657475"/>
    <xdr:graphicFrame>
      <xdr:nvGraphicFramePr>
        <xdr:cNvPr id="1" name="Chart 1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47625</xdr:rowOff>
    </xdr:from>
    <xdr:ext cx="6686550" cy="3533775"/>
    <xdr:graphicFrame>
      <xdr:nvGraphicFramePr>
        <xdr:cNvPr id="2" name="Chart 2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6:M317" displayName="Danh_sách_Test_Case" name="Danh_sách_Test_Case" id="1">
  <autoFilter ref="$A$6:$M$317"/>
  <tableColumns count="13">
    <tableColumn name="STT" id="1"/>
    <tableColumn name="Module" id="2"/>
    <tableColumn name="Test Case ID" id="3"/>
    <tableColumn name="Tên Test Case" id="4"/>
    <tableColumn name="Điều kiện tiền đề" id="5"/>
    <tableColumn name="Bước thực hiện" id="6"/>
    <tableColumn name="Dữ liệu test" id="7"/>
    <tableColumn name="Kết quả mong đợi" id="8"/>
    <tableColumn name="Kết quả thực tế" id="9"/>
    <tableColumn name="Trạng thái" id="10"/>
    <tableColumn name="Mức độ ưu tiên" id="11"/>
    <tableColumn name="Người test" id="12"/>
    <tableColumn name="Ngày test" id="13"/>
  </tableColumns>
  <tableStyleInfo name="Danh sách Test Case-style" showColumnStripes="0" showFirstColumn="1" showLastColumn="1" showRowStripes="1"/>
</table>
</file>

<file path=xl/tables/table2.xml><?xml version="1.0" encoding="utf-8"?>
<table xmlns="http://schemas.openxmlformats.org/spreadsheetml/2006/main" ref="A11:C16" displayName="Bảng_thống_kê_theo_trạng_thái_thực_thi" name="Bảng_thống_kê_theo_trạng_thái_thực_thi" id="2">
  <tableColumns count="3">
    <tableColumn name="Trạng thái" id="1"/>
    <tableColumn name="Số lượng" id="2"/>
    <tableColumn name="Tỷ lệ (%)" id="3"/>
  </tableColumns>
  <tableStyleInfo name="Tổng hợp -style" showColumnStripes="0" showFirstColumn="1" showLastColumn="1" showRowStripes="1"/>
</table>
</file>

<file path=xl/tables/table3.xml><?xml version="1.0" encoding="utf-8"?>
<table xmlns="http://schemas.openxmlformats.org/spreadsheetml/2006/main" ref="A23:C26" displayName="Bảng_Thống_kê_theo_mức_độ_ưu_tiên" name="Bảng_Thống_kê_theo_mức_độ_ưu_tiên" id="3">
  <tableColumns count="3">
    <tableColumn name="Mức độ ưu tiên" id="1"/>
    <tableColumn name="Số lượng" id="2"/>
    <tableColumn name="Tỷ lệ (%)" id="3"/>
  </tableColumns>
  <tableStyleInfo name="Tổng hợp -style 2" showColumnStripes="0" showFirstColumn="1" showLastColumn="1" showRowStripes="1"/>
</table>
</file>

<file path=xl/tables/table4.xml><?xml version="1.0" encoding="utf-8"?>
<table xmlns="http://schemas.openxmlformats.org/spreadsheetml/2006/main" totalsRowCount="1" ref="A31:F42" displayName="Bảng_Thống_kê_theo_Module" name="Bảng_Thống_kê_theo_Module" id="4">
  <tableColumns count="6">
    <tableColumn totalsRowLabel="Tổng cộng" name="Module" id="1"/>
    <tableColumn totalsRowFunction="custom" name="Pass" id="2"/>
    <tableColumn totalsRowFunction="custom" name="Fail" id="3"/>
    <tableColumn totalsRowFunction="custom" name="Block" id="4"/>
    <tableColumn totalsRowFunction="custom" name="Chưa test" id="5"/>
    <tableColumn totalsRowFunction="custom" name="Tổng" id="6"/>
  </tableColumns>
  <tableStyleInfo name="Tổng hợp 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2" max="2" width="21.63"/>
    <col customWidth="1" min="3" max="3" width="14.75"/>
    <col customWidth="1" min="4" max="8" width="37.63"/>
    <col customWidth="1" min="9" max="9" width="16.75"/>
    <col customWidth="1" min="10" max="10" width="16.13"/>
    <col customWidth="1" min="11" max="11" width="20.0"/>
    <col customWidth="1" min="12" max="12" width="13.25"/>
    <col customWidth="1" min="13" max="13" width="15.75"/>
  </cols>
  <sheetData>
    <row r="1">
      <c r="A1" s="1" t="s">
        <v>14</v>
      </c>
      <c r="H1" s="9"/>
      <c r="I1" s="9"/>
      <c r="J1" s="9"/>
      <c r="K1" s="9"/>
      <c r="L1" s="9"/>
      <c r="M1" s="9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6.5" customHeight="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6.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5"/>
      <c r="B4" s="9"/>
      <c r="C4" s="16"/>
      <c r="D4" s="9"/>
      <c r="E4" s="9"/>
      <c r="F4" s="9"/>
      <c r="G4" s="9"/>
      <c r="H4" s="9"/>
      <c r="I4" s="9"/>
      <c r="J4" s="9"/>
      <c r="K4" s="9"/>
      <c r="L4" s="9"/>
      <c r="M4" s="9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7.25" customHeight="1">
      <c r="A5" s="15"/>
      <c r="B5" s="9"/>
      <c r="C5" s="16"/>
      <c r="D5" s="9"/>
      <c r="E5" s="9"/>
      <c r="F5" s="9"/>
      <c r="G5" s="9"/>
      <c r="H5" s="9"/>
      <c r="I5" s="9"/>
      <c r="J5" s="9"/>
      <c r="K5" s="9"/>
      <c r="L5" s="9"/>
      <c r="M5" s="9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22.5" customHeight="1">
      <c r="A6" s="23" t="s">
        <v>1</v>
      </c>
      <c r="B6" s="24" t="s">
        <v>2</v>
      </c>
      <c r="C6" s="25" t="s">
        <v>3</v>
      </c>
      <c r="D6" s="24" t="s">
        <v>4</v>
      </c>
      <c r="E6" s="24" t="s">
        <v>5</v>
      </c>
      <c r="F6" s="24" t="s">
        <v>6</v>
      </c>
      <c r="G6" s="24" t="s">
        <v>7</v>
      </c>
      <c r="H6" s="24" t="s">
        <v>8</v>
      </c>
      <c r="I6" s="24" t="s">
        <v>9</v>
      </c>
      <c r="J6" s="24" t="s">
        <v>10</v>
      </c>
      <c r="K6" s="24" t="s">
        <v>11</v>
      </c>
      <c r="L6" s="24" t="s">
        <v>12</v>
      </c>
      <c r="M6" s="24" t="s">
        <v>13</v>
      </c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22.5" customHeight="1">
      <c r="A7" s="26">
        <f t="shared" ref="A7:A317" si="1">ROW()-6</f>
        <v>1</v>
      </c>
      <c r="B7" s="27" t="s">
        <v>15</v>
      </c>
      <c r="C7" s="28" t="str">
        <f t="shared" ref="C7:C317" si="2">"TC-" &amp; TEXT($A7, "000")</f>
        <v>TC-001</v>
      </c>
      <c r="D7" s="29" t="s">
        <v>16</v>
      </c>
      <c r="E7" s="29" t="s">
        <v>17</v>
      </c>
      <c r="F7" s="29" t="s">
        <v>18</v>
      </c>
      <c r="G7" s="29" t="s">
        <v>19</v>
      </c>
      <c r="H7" s="29" t="s">
        <v>20</v>
      </c>
      <c r="I7" s="29"/>
      <c r="J7" s="27" t="s">
        <v>21</v>
      </c>
      <c r="K7" s="30" t="s">
        <v>22</v>
      </c>
      <c r="L7" s="29" t="s">
        <v>23</v>
      </c>
      <c r="M7" s="31">
        <v>46282.0</v>
      </c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22.5" customHeight="1">
      <c r="A8" s="26">
        <f t="shared" si="1"/>
        <v>2</v>
      </c>
      <c r="B8" s="27" t="s">
        <v>15</v>
      </c>
      <c r="C8" s="28" t="str">
        <f t="shared" si="2"/>
        <v>TC-002</v>
      </c>
      <c r="D8" s="29" t="s">
        <v>24</v>
      </c>
      <c r="E8" s="29" t="s">
        <v>25</v>
      </c>
      <c r="F8" s="29" t="s">
        <v>26</v>
      </c>
      <c r="G8" s="29" t="s">
        <v>27</v>
      </c>
      <c r="H8" s="29" t="s">
        <v>28</v>
      </c>
      <c r="I8" s="29"/>
      <c r="J8" s="27" t="s">
        <v>21</v>
      </c>
      <c r="K8" s="30" t="s">
        <v>22</v>
      </c>
      <c r="L8" s="29" t="s">
        <v>23</v>
      </c>
      <c r="M8" s="31">
        <v>46282.0</v>
      </c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22.5" customHeight="1">
      <c r="A9" s="26">
        <f t="shared" si="1"/>
        <v>3</v>
      </c>
      <c r="B9" s="27" t="s">
        <v>15</v>
      </c>
      <c r="C9" s="28" t="str">
        <f t="shared" si="2"/>
        <v>TC-003</v>
      </c>
      <c r="D9" s="29" t="s">
        <v>29</v>
      </c>
      <c r="E9" s="29" t="s">
        <v>30</v>
      </c>
      <c r="F9" s="29" t="s">
        <v>31</v>
      </c>
      <c r="G9" s="29" t="s">
        <v>32</v>
      </c>
      <c r="H9" s="29" t="s">
        <v>33</v>
      </c>
      <c r="I9" s="29"/>
      <c r="J9" s="32" t="s">
        <v>21</v>
      </c>
      <c r="K9" s="30" t="s">
        <v>35</v>
      </c>
      <c r="L9" s="29" t="s">
        <v>23</v>
      </c>
      <c r="M9" s="31">
        <v>46286.0</v>
      </c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22.5" customHeight="1">
      <c r="A10" s="26">
        <f t="shared" si="1"/>
        <v>4</v>
      </c>
      <c r="B10" s="27" t="s">
        <v>15</v>
      </c>
      <c r="C10" s="28" t="str">
        <f t="shared" si="2"/>
        <v>TC-004</v>
      </c>
      <c r="D10" s="29" t="s">
        <v>45</v>
      </c>
      <c r="E10" s="29" t="s">
        <v>47</v>
      </c>
      <c r="F10" s="29" t="s">
        <v>49</v>
      </c>
      <c r="G10" s="29" t="s">
        <v>50</v>
      </c>
      <c r="H10" s="29" t="s">
        <v>51</v>
      </c>
      <c r="I10" s="29"/>
      <c r="J10" s="27" t="s">
        <v>52</v>
      </c>
      <c r="K10" s="30" t="s">
        <v>22</v>
      </c>
      <c r="L10" s="29"/>
      <c r="M10" s="3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22.5" customHeight="1">
      <c r="A11" s="26">
        <f t="shared" si="1"/>
        <v>5</v>
      </c>
      <c r="B11" s="27" t="s">
        <v>15</v>
      </c>
      <c r="C11" s="28" t="str">
        <f t="shared" si="2"/>
        <v>TC-005</v>
      </c>
      <c r="D11" s="29" t="s">
        <v>53</v>
      </c>
      <c r="E11" s="29"/>
      <c r="F11" s="29" t="s">
        <v>54</v>
      </c>
      <c r="G11" s="29" t="s">
        <v>55</v>
      </c>
      <c r="H11" s="29" t="s">
        <v>56</v>
      </c>
      <c r="I11" s="29"/>
      <c r="J11" s="27" t="s">
        <v>21</v>
      </c>
      <c r="K11" s="30" t="s">
        <v>22</v>
      </c>
      <c r="L11" s="29" t="s">
        <v>23</v>
      </c>
      <c r="M11" s="31">
        <v>46283.0</v>
      </c>
      <c r="N11" s="11"/>
      <c r="O11" s="11"/>
      <c r="P11" s="9"/>
      <c r="Q11" s="9"/>
      <c r="R11" s="11"/>
      <c r="S11" s="11"/>
      <c r="T11" s="11"/>
      <c r="U11" s="11"/>
      <c r="V11" s="11"/>
      <c r="W11" s="11"/>
      <c r="X11" s="11"/>
      <c r="Y11" s="11"/>
      <c r="Z11" s="11"/>
    </row>
    <row r="12" ht="22.5" customHeight="1">
      <c r="A12" s="26">
        <f t="shared" si="1"/>
        <v>6</v>
      </c>
      <c r="B12" s="27" t="s">
        <v>15</v>
      </c>
      <c r="C12" s="28" t="str">
        <f t="shared" si="2"/>
        <v>TC-006</v>
      </c>
      <c r="D12" s="29" t="s">
        <v>58</v>
      </c>
      <c r="E12" s="29"/>
      <c r="F12" s="29" t="s">
        <v>59</v>
      </c>
      <c r="G12" s="29" t="s">
        <v>60</v>
      </c>
      <c r="H12" s="29" t="s">
        <v>61</v>
      </c>
      <c r="I12" s="29"/>
      <c r="J12" s="27" t="s">
        <v>21</v>
      </c>
      <c r="K12" s="30" t="s">
        <v>22</v>
      </c>
      <c r="L12" s="29" t="s">
        <v>23</v>
      </c>
      <c r="M12" s="31">
        <v>46283.0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22.5" customHeight="1">
      <c r="A13" s="26">
        <f t="shared" si="1"/>
        <v>7</v>
      </c>
      <c r="B13" s="27" t="s">
        <v>15</v>
      </c>
      <c r="C13" s="28" t="str">
        <f t="shared" si="2"/>
        <v>TC-007</v>
      </c>
      <c r="D13" s="29" t="s">
        <v>63</v>
      </c>
      <c r="E13" s="29" t="s">
        <v>64</v>
      </c>
      <c r="F13" s="29" t="s">
        <v>65</v>
      </c>
      <c r="G13" s="29" t="s">
        <v>66</v>
      </c>
      <c r="H13" s="29" t="s">
        <v>67</v>
      </c>
      <c r="I13" s="29"/>
      <c r="J13" s="27" t="s">
        <v>52</v>
      </c>
      <c r="K13" s="30" t="s">
        <v>22</v>
      </c>
      <c r="L13" s="29"/>
      <c r="M13" s="3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22.5" customHeight="1">
      <c r="A14" s="26">
        <f t="shared" si="1"/>
        <v>8</v>
      </c>
      <c r="B14" s="27" t="s">
        <v>15</v>
      </c>
      <c r="C14" s="28" t="str">
        <f t="shared" si="2"/>
        <v>TC-008</v>
      </c>
      <c r="D14" s="29" t="s">
        <v>70</v>
      </c>
      <c r="E14" s="29"/>
      <c r="F14" s="29" t="s">
        <v>72</v>
      </c>
      <c r="G14" s="29" t="s">
        <v>73</v>
      </c>
      <c r="H14" s="29" t="s">
        <v>74</v>
      </c>
      <c r="I14" s="29"/>
      <c r="J14" s="27" t="s">
        <v>21</v>
      </c>
      <c r="K14" s="30" t="s">
        <v>22</v>
      </c>
      <c r="L14" s="29" t="s">
        <v>23</v>
      </c>
      <c r="M14" s="31">
        <v>46283.0</v>
      </c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22.5" customHeight="1">
      <c r="A15" s="26">
        <f t="shared" si="1"/>
        <v>9</v>
      </c>
      <c r="B15" s="27" t="s">
        <v>15</v>
      </c>
      <c r="C15" s="28" t="str">
        <f t="shared" si="2"/>
        <v>TC-009</v>
      </c>
      <c r="D15" s="29" t="s">
        <v>75</v>
      </c>
      <c r="E15" s="29"/>
      <c r="F15" s="29" t="s">
        <v>76</v>
      </c>
      <c r="G15" s="29" t="s">
        <v>77</v>
      </c>
      <c r="H15" s="29" t="s">
        <v>74</v>
      </c>
      <c r="I15" s="29"/>
      <c r="J15" s="27" t="s">
        <v>21</v>
      </c>
      <c r="K15" s="30" t="s">
        <v>22</v>
      </c>
      <c r="L15" s="29" t="s">
        <v>23</v>
      </c>
      <c r="M15" s="31">
        <v>46283.0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22.5" customHeight="1">
      <c r="A16" s="26">
        <f t="shared" si="1"/>
        <v>10</v>
      </c>
      <c r="B16" s="27" t="s">
        <v>15</v>
      </c>
      <c r="C16" s="28" t="str">
        <f t="shared" si="2"/>
        <v>TC-010</v>
      </c>
      <c r="D16" s="29" t="s">
        <v>81</v>
      </c>
      <c r="E16" s="29"/>
      <c r="F16" s="29" t="s">
        <v>82</v>
      </c>
      <c r="G16" s="29" t="s">
        <v>83</v>
      </c>
      <c r="H16" s="29" t="s">
        <v>84</v>
      </c>
      <c r="I16" s="29"/>
      <c r="J16" s="27" t="s">
        <v>21</v>
      </c>
      <c r="K16" s="30" t="s">
        <v>22</v>
      </c>
      <c r="L16" s="29" t="s">
        <v>23</v>
      </c>
      <c r="M16" s="31">
        <v>46283.0</v>
      </c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22.5" customHeight="1">
      <c r="A17" s="26">
        <f t="shared" si="1"/>
        <v>11</v>
      </c>
      <c r="B17" s="27" t="s">
        <v>15</v>
      </c>
      <c r="C17" s="28" t="str">
        <f t="shared" si="2"/>
        <v>TC-011</v>
      </c>
      <c r="D17" s="29" t="s">
        <v>86</v>
      </c>
      <c r="E17" s="29"/>
      <c r="F17" s="29" t="s">
        <v>87</v>
      </c>
      <c r="G17" s="29" t="s">
        <v>88</v>
      </c>
      <c r="H17" s="29" t="s">
        <v>89</v>
      </c>
      <c r="I17" s="29"/>
      <c r="J17" s="27" t="s">
        <v>21</v>
      </c>
      <c r="K17" s="30" t="s">
        <v>22</v>
      </c>
      <c r="L17" s="29" t="s">
        <v>23</v>
      </c>
      <c r="M17" s="31">
        <v>46283.0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22.5" customHeight="1">
      <c r="A18" s="26">
        <f t="shared" si="1"/>
        <v>12</v>
      </c>
      <c r="B18" s="27" t="s">
        <v>15</v>
      </c>
      <c r="C18" s="28" t="str">
        <f t="shared" si="2"/>
        <v>TC-012</v>
      </c>
      <c r="D18" s="29" t="s">
        <v>91</v>
      </c>
      <c r="E18" s="29"/>
      <c r="F18" s="29" t="s">
        <v>92</v>
      </c>
      <c r="G18" s="29" t="s">
        <v>93</v>
      </c>
      <c r="H18" s="29" t="s">
        <v>94</v>
      </c>
      <c r="I18" s="29"/>
      <c r="J18" s="27" t="s">
        <v>21</v>
      </c>
      <c r="K18" s="30" t="s">
        <v>22</v>
      </c>
      <c r="L18" s="29" t="s">
        <v>23</v>
      </c>
      <c r="M18" s="31">
        <v>46283.0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22.5" customHeight="1">
      <c r="A19" s="26">
        <f t="shared" si="1"/>
        <v>13</v>
      </c>
      <c r="B19" s="27" t="s">
        <v>15</v>
      </c>
      <c r="C19" s="28" t="str">
        <f t="shared" si="2"/>
        <v>TC-013</v>
      </c>
      <c r="D19" s="29" t="s">
        <v>96</v>
      </c>
      <c r="E19" s="29" t="s">
        <v>97</v>
      </c>
      <c r="F19" s="29" t="s">
        <v>98</v>
      </c>
      <c r="G19" s="29" t="s">
        <v>99</v>
      </c>
      <c r="H19" s="29" t="s">
        <v>100</v>
      </c>
      <c r="I19" s="29"/>
      <c r="J19" s="27" t="s">
        <v>52</v>
      </c>
      <c r="K19" s="30" t="s">
        <v>22</v>
      </c>
      <c r="L19" s="29"/>
      <c r="M19" s="3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22.5" customHeight="1">
      <c r="A20" s="26">
        <f t="shared" si="1"/>
        <v>14</v>
      </c>
      <c r="B20" s="27" t="s">
        <v>15</v>
      </c>
      <c r="C20" s="28" t="str">
        <f t="shared" si="2"/>
        <v>TC-014</v>
      </c>
      <c r="D20" s="29" t="s">
        <v>102</v>
      </c>
      <c r="E20" s="29" t="s">
        <v>103</v>
      </c>
      <c r="F20" s="29" t="s">
        <v>104</v>
      </c>
      <c r="G20" s="29" t="s">
        <v>106</v>
      </c>
      <c r="H20" s="29" t="s">
        <v>107</v>
      </c>
      <c r="I20" s="29"/>
      <c r="J20" s="27" t="s">
        <v>21</v>
      </c>
      <c r="K20" s="30" t="s">
        <v>22</v>
      </c>
      <c r="L20" s="29" t="s">
        <v>23</v>
      </c>
      <c r="M20" s="31">
        <v>46283.0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22.5" customHeight="1">
      <c r="A21" s="26">
        <f t="shared" si="1"/>
        <v>15</v>
      </c>
      <c r="B21" s="27" t="s">
        <v>15</v>
      </c>
      <c r="C21" s="28" t="str">
        <f t="shared" si="2"/>
        <v>TC-015</v>
      </c>
      <c r="D21" s="29" t="s">
        <v>108</v>
      </c>
      <c r="E21" s="29" t="s">
        <v>109</v>
      </c>
      <c r="F21" s="29" t="s">
        <v>110</v>
      </c>
      <c r="G21" s="29"/>
      <c r="H21" s="29" t="s">
        <v>112</v>
      </c>
      <c r="I21" s="29"/>
      <c r="J21" s="27" t="s">
        <v>21</v>
      </c>
      <c r="K21" s="30" t="s">
        <v>22</v>
      </c>
      <c r="L21" s="29" t="s">
        <v>23</v>
      </c>
      <c r="M21" s="31">
        <v>46283.0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22.5" customHeight="1">
      <c r="A22" s="26">
        <f t="shared" si="1"/>
        <v>16</v>
      </c>
      <c r="B22" s="27" t="s">
        <v>15</v>
      </c>
      <c r="C22" s="28" t="str">
        <f t="shared" si="2"/>
        <v>TC-016</v>
      </c>
      <c r="D22" s="29" t="s">
        <v>114</v>
      </c>
      <c r="E22" s="29" t="s">
        <v>115</v>
      </c>
      <c r="F22" s="29" t="s">
        <v>116</v>
      </c>
      <c r="G22" s="29" t="s">
        <v>117</v>
      </c>
      <c r="H22" s="29" t="s">
        <v>118</v>
      </c>
      <c r="I22" s="29"/>
      <c r="J22" s="32" t="s">
        <v>21</v>
      </c>
      <c r="K22" s="30" t="s">
        <v>35</v>
      </c>
      <c r="L22" s="29"/>
      <c r="M22" s="31">
        <v>46287.0</v>
      </c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22.5" customHeight="1">
      <c r="A23" s="26">
        <f t="shared" si="1"/>
        <v>17</v>
      </c>
      <c r="B23" s="27" t="s">
        <v>15</v>
      </c>
      <c r="C23" s="28" t="str">
        <f t="shared" si="2"/>
        <v>TC-017</v>
      </c>
      <c r="D23" s="29" t="s">
        <v>120</v>
      </c>
      <c r="E23" s="29" t="s">
        <v>121</v>
      </c>
      <c r="F23" s="29" t="s">
        <v>122</v>
      </c>
      <c r="G23" s="29" t="s">
        <v>123</v>
      </c>
      <c r="H23" s="29" t="s">
        <v>124</v>
      </c>
      <c r="I23" s="29" t="s">
        <v>125</v>
      </c>
      <c r="J23" s="32" t="s">
        <v>57</v>
      </c>
      <c r="K23" s="30" t="s">
        <v>35</v>
      </c>
      <c r="L23" s="29" t="s">
        <v>23</v>
      </c>
      <c r="M23" s="31">
        <v>46283.0</v>
      </c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22.5" customHeight="1">
      <c r="A24" s="26">
        <f t="shared" si="1"/>
        <v>18</v>
      </c>
      <c r="B24" s="27" t="s">
        <v>15</v>
      </c>
      <c r="C24" s="28" t="str">
        <f t="shared" si="2"/>
        <v>TC-018</v>
      </c>
      <c r="D24" s="29" t="s">
        <v>127</v>
      </c>
      <c r="E24" s="29" t="s">
        <v>128</v>
      </c>
      <c r="F24" s="29" t="s">
        <v>129</v>
      </c>
      <c r="G24" s="29" t="s">
        <v>130</v>
      </c>
      <c r="H24" s="29" t="s">
        <v>131</v>
      </c>
      <c r="I24" s="29"/>
      <c r="J24" s="32" t="s">
        <v>21</v>
      </c>
      <c r="K24" s="30" t="s">
        <v>22</v>
      </c>
      <c r="L24" s="29" t="s">
        <v>23</v>
      </c>
      <c r="M24" s="31">
        <v>46283.0</v>
      </c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22.5" customHeight="1">
      <c r="A25" s="26">
        <f t="shared" si="1"/>
        <v>19</v>
      </c>
      <c r="B25" s="27" t="s">
        <v>15</v>
      </c>
      <c r="C25" s="28" t="str">
        <f t="shared" si="2"/>
        <v>TC-019</v>
      </c>
      <c r="D25" s="29" t="s">
        <v>132</v>
      </c>
      <c r="E25" s="29" t="s">
        <v>133</v>
      </c>
      <c r="F25" s="29" t="s">
        <v>134</v>
      </c>
      <c r="G25" s="29" t="s">
        <v>135</v>
      </c>
      <c r="H25" s="29" t="s">
        <v>136</v>
      </c>
      <c r="I25" s="29"/>
      <c r="J25" s="27" t="s">
        <v>21</v>
      </c>
      <c r="K25" s="30" t="s">
        <v>22</v>
      </c>
      <c r="L25" s="29" t="s">
        <v>23</v>
      </c>
      <c r="M25" s="31">
        <v>46283.0</v>
      </c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22.5" customHeight="1">
      <c r="A26" s="26">
        <f t="shared" si="1"/>
        <v>20</v>
      </c>
      <c r="B26" s="27" t="s">
        <v>15</v>
      </c>
      <c r="C26" s="28" t="str">
        <f t="shared" si="2"/>
        <v>TC-020</v>
      </c>
      <c r="D26" s="29" t="s">
        <v>137</v>
      </c>
      <c r="E26" s="29" t="s">
        <v>138</v>
      </c>
      <c r="F26" s="29" t="s">
        <v>139</v>
      </c>
      <c r="G26" s="29" t="s">
        <v>140</v>
      </c>
      <c r="H26" s="29" t="s">
        <v>141</v>
      </c>
      <c r="I26" s="29"/>
      <c r="J26" s="27" t="s">
        <v>21</v>
      </c>
      <c r="K26" s="30" t="s">
        <v>22</v>
      </c>
      <c r="L26" s="29" t="s">
        <v>23</v>
      </c>
      <c r="M26" s="31">
        <v>46283.0</v>
      </c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22.5" customHeight="1">
      <c r="A27" s="26">
        <f t="shared" si="1"/>
        <v>21</v>
      </c>
      <c r="B27" s="27" t="s">
        <v>15</v>
      </c>
      <c r="C27" s="28" t="str">
        <f t="shared" si="2"/>
        <v>TC-021</v>
      </c>
      <c r="D27" s="29" t="s">
        <v>142</v>
      </c>
      <c r="E27" s="29" t="s">
        <v>143</v>
      </c>
      <c r="F27" s="29" t="s">
        <v>144</v>
      </c>
      <c r="G27" s="29" t="s">
        <v>145</v>
      </c>
      <c r="H27" s="29" t="s">
        <v>146</v>
      </c>
      <c r="I27" s="29"/>
      <c r="J27" s="32" t="s">
        <v>21</v>
      </c>
      <c r="K27" s="30" t="s">
        <v>22</v>
      </c>
      <c r="L27" s="29" t="s">
        <v>23</v>
      </c>
      <c r="M27" s="31">
        <v>46286.0</v>
      </c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22.5" customHeight="1">
      <c r="A28" s="26">
        <f t="shared" si="1"/>
        <v>22</v>
      </c>
      <c r="B28" s="27" t="s">
        <v>15</v>
      </c>
      <c r="C28" s="28" t="str">
        <f t="shared" si="2"/>
        <v>TC-022</v>
      </c>
      <c r="D28" s="29" t="s">
        <v>147</v>
      </c>
      <c r="E28" s="29" t="s">
        <v>148</v>
      </c>
      <c r="F28" s="29" t="s">
        <v>149</v>
      </c>
      <c r="G28" s="29" t="s">
        <v>150</v>
      </c>
      <c r="H28" s="29" t="s">
        <v>151</v>
      </c>
      <c r="I28" s="29"/>
      <c r="J28" s="27" t="s">
        <v>52</v>
      </c>
      <c r="K28" s="30" t="s">
        <v>22</v>
      </c>
      <c r="L28" s="29"/>
      <c r="M28" s="3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22.5" customHeight="1">
      <c r="A29" s="26">
        <f t="shared" si="1"/>
        <v>23</v>
      </c>
      <c r="B29" s="27" t="s">
        <v>15</v>
      </c>
      <c r="C29" s="28" t="str">
        <f t="shared" si="2"/>
        <v>TC-023</v>
      </c>
      <c r="D29" s="29" t="s">
        <v>152</v>
      </c>
      <c r="E29" s="29" t="s">
        <v>153</v>
      </c>
      <c r="F29" s="29" t="s">
        <v>154</v>
      </c>
      <c r="G29" s="29" t="s">
        <v>155</v>
      </c>
      <c r="H29" s="29" t="s">
        <v>156</v>
      </c>
      <c r="I29" s="29"/>
      <c r="J29" s="32" t="s">
        <v>21</v>
      </c>
      <c r="K29" s="30" t="s">
        <v>22</v>
      </c>
      <c r="L29" s="29" t="s">
        <v>23</v>
      </c>
      <c r="M29" s="31">
        <v>46286.0</v>
      </c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22.5" customHeight="1">
      <c r="A30" s="26">
        <f t="shared" si="1"/>
        <v>24</v>
      </c>
      <c r="B30" s="27" t="s">
        <v>15</v>
      </c>
      <c r="C30" s="28" t="str">
        <f t="shared" si="2"/>
        <v>TC-024</v>
      </c>
      <c r="D30" s="29" t="s">
        <v>157</v>
      </c>
      <c r="E30" s="29" t="s">
        <v>153</v>
      </c>
      <c r="F30" s="29" t="s">
        <v>158</v>
      </c>
      <c r="G30" s="29" t="s">
        <v>159</v>
      </c>
      <c r="H30" s="29" t="s">
        <v>160</v>
      </c>
      <c r="I30" s="29"/>
      <c r="J30" s="27" t="s">
        <v>52</v>
      </c>
      <c r="K30" s="30" t="s">
        <v>22</v>
      </c>
      <c r="L30" s="29"/>
      <c r="M30" s="31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ht="22.5" customHeight="1">
      <c r="A31" s="26">
        <f t="shared" si="1"/>
        <v>25</v>
      </c>
      <c r="B31" s="27" t="s">
        <v>15</v>
      </c>
      <c r="C31" s="28" t="str">
        <f t="shared" si="2"/>
        <v>TC-025</v>
      </c>
      <c r="D31" s="29" t="s">
        <v>161</v>
      </c>
      <c r="E31" s="29" t="s">
        <v>162</v>
      </c>
      <c r="F31" s="29" t="s">
        <v>163</v>
      </c>
      <c r="G31" s="29" t="s">
        <v>164</v>
      </c>
      <c r="H31" s="29" t="s">
        <v>165</v>
      </c>
      <c r="I31" s="29"/>
      <c r="J31" s="27" t="s">
        <v>52</v>
      </c>
      <c r="K31" s="30" t="s">
        <v>35</v>
      </c>
      <c r="L31" s="29"/>
      <c r="M31" s="3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22.5" customHeight="1">
      <c r="A32" s="26">
        <f t="shared" si="1"/>
        <v>26</v>
      </c>
      <c r="B32" s="27" t="s">
        <v>15</v>
      </c>
      <c r="C32" s="28" t="str">
        <f t="shared" si="2"/>
        <v>TC-026</v>
      </c>
      <c r="D32" s="29" t="s">
        <v>166</v>
      </c>
      <c r="E32" s="29" t="s">
        <v>167</v>
      </c>
      <c r="F32" s="29" t="s">
        <v>168</v>
      </c>
      <c r="G32" s="29"/>
      <c r="H32" s="29" t="s">
        <v>169</v>
      </c>
      <c r="I32" s="29"/>
      <c r="J32" s="27" t="s">
        <v>21</v>
      </c>
      <c r="K32" s="30" t="s">
        <v>22</v>
      </c>
      <c r="L32" s="29" t="s">
        <v>23</v>
      </c>
      <c r="M32" s="31">
        <v>46283.0</v>
      </c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22.5" customHeight="1">
      <c r="A33" s="26">
        <f t="shared" si="1"/>
        <v>27</v>
      </c>
      <c r="B33" s="27" t="s">
        <v>15</v>
      </c>
      <c r="C33" s="28" t="str">
        <f t="shared" si="2"/>
        <v>TC-027</v>
      </c>
      <c r="D33" s="29" t="s">
        <v>170</v>
      </c>
      <c r="E33" s="29" t="s">
        <v>171</v>
      </c>
      <c r="F33" s="29" t="s">
        <v>172</v>
      </c>
      <c r="G33" s="29" t="s">
        <v>173</v>
      </c>
      <c r="H33" s="29" t="s">
        <v>174</v>
      </c>
      <c r="I33" s="29"/>
      <c r="J33" s="27" t="s">
        <v>21</v>
      </c>
      <c r="K33" s="30" t="s">
        <v>22</v>
      </c>
      <c r="L33" s="29" t="s">
        <v>23</v>
      </c>
      <c r="M33" s="31">
        <v>46283.0</v>
      </c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22.5" customHeight="1">
      <c r="A34" s="26">
        <f t="shared" si="1"/>
        <v>28</v>
      </c>
      <c r="B34" s="27" t="s">
        <v>15</v>
      </c>
      <c r="C34" s="28" t="str">
        <f t="shared" si="2"/>
        <v>TC-028</v>
      </c>
      <c r="D34" s="29" t="s">
        <v>175</v>
      </c>
      <c r="E34" s="29" t="s">
        <v>176</v>
      </c>
      <c r="F34" s="29" t="s">
        <v>177</v>
      </c>
      <c r="G34" s="29" t="s">
        <v>178</v>
      </c>
      <c r="H34" s="29" t="s">
        <v>179</v>
      </c>
      <c r="I34" s="29"/>
      <c r="J34" s="27" t="s">
        <v>21</v>
      </c>
      <c r="K34" s="30" t="s">
        <v>22</v>
      </c>
      <c r="L34" s="29" t="s">
        <v>23</v>
      </c>
      <c r="M34" s="31">
        <v>46283.0</v>
      </c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22.5" customHeight="1">
      <c r="A35" s="26">
        <f t="shared" si="1"/>
        <v>29</v>
      </c>
      <c r="B35" s="27" t="s">
        <v>15</v>
      </c>
      <c r="C35" s="28" t="str">
        <f t="shared" si="2"/>
        <v>TC-029</v>
      </c>
      <c r="D35" s="29" t="s">
        <v>180</v>
      </c>
      <c r="E35" s="29" t="s">
        <v>181</v>
      </c>
      <c r="F35" s="29" t="s">
        <v>182</v>
      </c>
      <c r="G35" s="29" t="s">
        <v>183</v>
      </c>
      <c r="H35" s="29" t="s">
        <v>184</v>
      </c>
      <c r="I35" s="29"/>
      <c r="J35" s="27" t="s">
        <v>21</v>
      </c>
      <c r="K35" s="30" t="s">
        <v>35</v>
      </c>
      <c r="L35" s="29" t="s">
        <v>23</v>
      </c>
      <c r="M35" s="31">
        <v>46282.0</v>
      </c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22.5" customHeight="1">
      <c r="A36" s="26">
        <f t="shared" si="1"/>
        <v>30</v>
      </c>
      <c r="B36" s="27" t="s">
        <v>85</v>
      </c>
      <c r="C36" s="28" t="str">
        <f t="shared" si="2"/>
        <v>TC-030</v>
      </c>
      <c r="D36" s="29" t="s">
        <v>185</v>
      </c>
      <c r="E36" s="29" t="s">
        <v>186</v>
      </c>
      <c r="F36" s="29" t="s">
        <v>187</v>
      </c>
      <c r="G36" s="29" t="s">
        <v>188</v>
      </c>
      <c r="H36" s="29" t="s">
        <v>189</v>
      </c>
      <c r="I36" s="29"/>
      <c r="J36" s="27" t="s">
        <v>52</v>
      </c>
      <c r="K36" s="30" t="s">
        <v>22</v>
      </c>
      <c r="L36" s="29"/>
      <c r="M36" s="3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22.5" customHeight="1">
      <c r="A37" s="26">
        <f t="shared" si="1"/>
        <v>31</v>
      </c>
      <c r="B37" s="27" t="s">
        <v>85</v>
      </c>
      <c r="C37" s="28" t="str">
        <f t="shared" si="2"/>
        <v>TC-031</v>
      </c>
      <c r="D37" s="29" t="s">
        <v>190</v>
      </c>
      <c r="E37" s="29" t="s">
        <v>191</v>
      </c>
      <c r="F37" s="29" t="s">
        <v>192</v>
      </c>
      <c r="G37" s="29" t="s">
        <v>193</v>
      </c>
      <c r="H37" s="29" t="s">
        <v>194</v>
      </c>
      <c r="I37" s="29"/>
      <c r="J37" s="27" t="s">
        <v>52</v>
      </c>
      <c r="K37" s="30" t="s">
        <v>22</v>
      </c>
      <c r="L37" s="29"/>
      <c r="M37" s="3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22.5" customHeight="1">
      <c r="A38" s="26">
        <f t="shared" si="1"/>
        <v>32</v>
      </c>
      <c r="B38" s="27" t="s">
        <v>85</v>
      </c>
      <c r="C38" s="28" t="str">
        <f t="shared" si="2"/>
        <v>TC-032</v>
      </c>
      <c r="D38" s="29" t="s">
        <v>195</v>
      </c>
      <c r="E38" s="29" t="s">
        <v>196</v>
      </c>
      <c r="F38" s="29" t="s">
        <v>197</v>
      </c>
      <c r="G38" s="29" t="s">
        <v>198</v>
      </c>
      <c r="H38" s="29" t="s">
        <v>199</v>
      </c>
      <c r="I38" s="29"/>
      <c r="J38" s="27" t="s">
        <v>52</v>
      </c>
      <c r="K38" s="30" t="s">
        <v>22</v>
      </c>
      <c r="L38" s="29"/>
      <c r="M38" s="3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22.5" customHeight="1">
      <c r="A39" s="26">
        <f t="shared" si="1"/>
        <v>33</v>
      </c>
      <c r="B39" s="27" t="s">
        <v>85</v>
      </c>
      <c r="C39" s="28" t="str">
        <f t="shared" si="2"/>
        <v>TC-033</v>
      </c>
      <c r="D39" s="29" t="s">
        <v>200</v>
      </c>
      <c r="E39" s="29" t="s">
        <v>201</v>
      </c>
      <c r="F39" s="29" t="s">
        <v>202</v>
      </c>
      <c r="G39" s="29" t="s">
        <v>203</v>
      </c>
      <c r="H39" s="29" t="s">
        <v>204</v>
      </c>
      <c r="I39" s="29"/>
      <c r="J39" s="27" t="s">
        <v>52</v>
      </c>
      <c r="K39" s="30" t="s">
        <v>22</v>
      </c>
      <c r="L39" s="29"/>
      <c r="M39" s="3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22.5" customHeight="1">
      <c r="A40" s="26">
        <f t="shared" si="1"/>
        <v>34</v>
      </c>
      <c r="B40" s="27" t="s">
        <v>85</v>
      </c>
      <c r="C40" s="28" t="str">
        <f t="shared" si="2"/>
        <v>TC-034</v>
      </c>
      <c r="D40" s="29" t="s">
        <v>205</v>
      </c>
      <c r="E40" s="29" t="s">
        <v>201</v>
      </c>
      <c r="F40" s="29" t="s">
        <v>206</v>
      </c>
      <c r="G40" s="29" t="s">
        <v>207</v>
      </c>
      <c r="H40" s="29" t="s">
        <v>208</v>
      </c>
      <c r="I40" s="29"/>
      <c r="J40" s="27" t="s">
        <v>52</v>
      </c>
      <c r="K40" s="30" t="s">
        <v>22</v>
      </c>
      <c r="L40" s="29"/>
      <c r="M40" s="3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22.5" customHeight="1">
      <c r="A41" s="26">
        <f t="shared" si="1"/>
        <v>35</v>
      </c>
      <c r="B41" s="27" t="s">
        <v>85</v>
      </c>
      <c r="C41" s="28" t="str">
        <f t="shared" si="2"/>
        <v>TC-035</v>
      </c>
      <c r="D41" s="29" t="s">
        <v>209</v>
      </c>
      <c r="E41" s="29" t="s">
        <v>210</v>
      </c>
      <c r="F41" s="29" t="s">
        <v>197</v>
      </c>
      <c r="G41" s="29" t="s">
        <v>211</v>
      </c>
      <c r="H41" s="29" t="s">
        <v>212</v>
      </c>
      <c r="I41" s="29"/>
      <c r="J41" s="27" t="s">
        <v>52</v>
      </c>
      <c r="K41" s="30" t="s">
        <v>22</v>
      </c>
      <c r="L41" s="29"/>
      <c r="M41" s="3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22.5" customHeight="1">
      <c r="A42" s="26">
        <f t="shared" si="1"/>
        <v>36</v>
      </c>
      <c r="B42" s="32" t="s">
        <v>90</v>
      </c>
      <c r="C42" s="28" t="str">
        <f t="shared" si="2"/>
        <v>TC-036</v>
      </c>
      <c r="D42" s="29" t="s">
        <v>213</v>
      </c>
      <c r="E42" s="29" t="s">
        <v>214</v>
      </c>
      <c r="F42" s="29" t="s">
        <v>215</v>
      </c>
      <c r="G42" s="29" t="s">
        <v>216</v>
      </c>
      <c r="H42" s="29" t="s">
        <v>217</v>
      </c>
      <c r="I42" s="29"/>
      <c r="J42" s="32" t="s">
        <v>21</v>
      </c>
      <c r="K42" s="60" t="s">
        <v>22</v>
      </c>
      <c r="L42" s="29" t="s">
        <v>23</v>
      </c>
      <c r="M42" s="31">
        <v>46287.0</v>
      </c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22.5" customHeight="1">
      <c r="A43" s="26">
        <f t="shared" si="1"/>
        <v>37</v>
      </c>
      <c r="B43" s="32" t="s">
        <v>90</v>
      </c>
      <c r="C43" s="28" t="str">
        <f t="shared" si="2"/>
        <v>TC-037</v>
      </c>
      <c r="D43" s="29" t="s">
        <v>218</v>
      </c>
      <c r="E43" s="29" t="s">
        <v>219</v>
      </c>
      <c r="F43" s="29" t="s">
        <v>220</v>
      </c>
      <c r="G43" s="29" t="s">
        <v>221</v>
      </c>
      <c r="H43" s="29" t="s">
        <v>222</v>
      </c>
      <c r="I43" s="29"/>
      <c r="J43" s="32" t="s">
        <v>21</v>
      </c>
      <c r="K43" s="60" t="s">
        <v>22</v>
      </c>
      <c r="L43" s="29" t="s">
        <v>23</v>
      </c>
      <c r="M43" s="31">
        <v>46287.0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22.5" customHeight="1">
      <c r="A44" s="26">
        <f t="shared" si="1"/>
        <v>38</v>
      </c>
      <c r="B44" s="32" t="s">
        <v>90</v>
      </c>
      <c r="C44" s="28" t="str">
        <f t="shared" si="2"/>
        <v>TC-038</v>
      </c>
      <c r="D44" s="29" t="s">
        <v>223</v>
      </c>
      <c r="E44" s="29" t="s">
        <v>224</v>
      </c>
      <c r="F44" s="29" t="s">
        <v>225</v>
      </c>
      <c r="G44" s="29" t="s">
        <v>226</v>
      </c>
      <c r="H44" s="29" t="s">
        <v>227</v>
      </c>
      <c r="I44" s="29"/>
      <c r="J44" s="32" t="s">
        <v>21</v>
      </c>
      <c r="K44" s="60" t="s">
        <v>22</v>
      </c>
      <c r="L44" s="29" t="s">
        <v>23</v>
      </c>
      <c r="M44" s="31">
        <v>46287.0</v>
      </c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22.5" customHeight="1">
      <c r="A45" s="26">
        <f t="shared" si="1"/>
        <v>39</v>
      </c>
      <c r="B45" s="32" t="s">
        <v>90</v>
      </c>
      <c r="C45" s="28" t="str">
        <f t="shared" si="2"/>
        <v>TC-039</v>
      </c>
      <c r="D45" s="29" t="s">
        <v>228</v>
      </c>
      <c r="E45" s="29" t="s">
        <v>229</v>
      </c>
      <c r="F45" s="29" t="s">
        <v>230</v>
      </c>
      <c r="G45" s="29" t="s">
        <v>231</v>
      </c>
      <c r="H45" s="29" t="s">
        <v>232</v>
      </c>
      <c r="I45" s="29"/>
      <c r="J45" s="32" t="s">
        <v>21</v>
      </c>
      <c r="K45" s="60" t="s">
        <v>35</v>
      </c>
      <c r="L45" s="29" t="s">
        <v>23</v>
      </c>
      <c r="M45" s="31">
        <v>46287.0</v>
      </c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22.5" customHeight="1">
      <c r="A46" s="26">
        <f t="shared" si="1"/>
        <v>40</v>
      </c>
      <c r="B46" s="32" t="s">
        <v>90</v>
      </c>
      <c r="C46" s="28" t="str">
        <f t="shared" si="2"/>
        <v>TC-040</v>
      </c>
      <c r="D46" s="29" t="s">
        <v>233</v>
      </c>
      <c r="E46" s="29" t="s">
        <v>234</v>
      </c>
      <c r="F46" s="29" t="s">
        <v>235</v>
      </c>
      <c r="G46" s="29" t="s">
        <v>236</v>
      </c>
      <c r="H46" s="29" t="s">
        <v>237</v>
      </c>
      <c r="I46" s="29"/>
      <c r="J46" s="32" t="s">
        <v>21</v>
      </c>
      <c r="K46" s="60" t="s">
        <v>35</v>
      </c>
      <c r="L46" s="29" t="s">
        <v>23</v>
      </c>
      <c r="M46" s="31">
        <v>46287.0</v>
      </c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22.5" customHeight="1">
      <c r="A47" s="26">
        <f t="shared" si="1"/>
        <v>41</v>
      </c>
      <c r="B47" s="32" t="s">
        <v>90</v>
      </c>
      <c r="C47" s="28" t="str">
        <f t="shared" si="2"/>
        <v>TC-041</v>
      </c>
      <c r="D47" s="29" t="s">
        <v>238</v>
      </c>
      <c r="E47" s="29" t="s">
        <v>234</v>
      </c>
      <c r="F47" s="29" t="s">
        <v>239</v>
      </c>
      <c r="G47" s="29" t="s">
        <v>240</v>
      </c>
      <c r="H47" s="29" t="s">
        <v>241</v>
      </c>
      <c r="I47" s="29"/>
      <c r="J47" s="32" t="s">
        <v>21</v>
      </c>
      <c r="K47" s="60" t="s">
        <v>35</v>
      </c>
      <c r="L47" s="29" t="s">
        <v>23</v>
      </c>
      <c r="M47" s="31">
        <v>46287.0</v>
      </c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22.5" customHeight="1">
      <c r="A48" s="26">
        <f t="shared" si="1"/>
        <v>42</v>
      </c>
      <c r="B48" s="32" t="s">
        <v>90</v>
      </c>
      <c r="C48" s="28" t="str">
        <f t="shared" si="2"/>
        <v>TC-042</v>
      </c>
      <c r="D48" s="29" t="s">
        <v>242</v>
      </c>
      <c r="E48" s="29" t="s">
        <v>243</v>
      </c>
      <c r="F48" s="29" t="s">
        <v>244</v>
      </c>
      <c r="G48" s="29" t="s">
        <v>245</v>
      </c>
      <c r="H48" s="29" t="s">
        <v>246</v>
      </c>
      <c r="I48" s="29"/>
      <c r="J48" s="32" t="s">
        <v>21</v>
      </c>
      <c r="K48" s="60" t="s">
        <v>35</v>
      </c>
      <c r="L48" s="29" t="s">
        <v>23</v>
      </c>
      <c r="M48" s="31">
        <v>46287.0</v>
      </c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22.5" customHeight="1">
      <c r="A49" s="26">
        <f t="shared" si="1"/>
        <v>43</v>
      </c>
      <c r="B49" s="32" t="s">
        <v>90</v>
      </c>
      <c r="C49" s="28" t="str">
        <f t="shared" si="2"/>
        <v>TC-043</v>
      </c>
      <c r="D49" s="29" t="s">
        <v>247</v>
      </c>
      <c r="E49" s="29" t="s">
        <v>248</v>
      </c>
      <c r="F49" s="29" t="s">
        <v>249</v>
      </c>
      <c r="G49" s="29" t="s">
        <v>250</v>
      </c>
      <c r="H49" s="29" t="s">
        <v>251</v>
      </c>
      <c r="I49" s="29"/>
      <c r="J49" s="32" t="s">
        <v>21</v>
      </c>
      <c r="K49" s="60" t="s">
        <v>35</v>
      </c>
      <c r="L49" s="29" t="s">
        <v>23</v>
      </c>
      <c r="M49" s="31">
        <v>46287.0</v>
      </c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22.5" customHeight="1">
      <c r="A50" s="26">
        <f t="shared" si="1"/>
        <v>44</v>
      </c>
      <c r="B50" s="32" t="s">
        <v>90</v>
      </c>
      <c r="C50" s="28" t="str">
        <f t="shared" si="2"/>
        <v>TC-044</v>
      </c>
      <c r="D50" s="29" t="s">
        <v>252</v>
      </c>
      <c r="E50" s="29" t="s">
        <v>253</v>
      </c>
      <c r="F50" s="29" t="s">
        <v>254</v>
      </c>
      <c r="G50" s="29" t="s">
        <v>255</v>
      </c>
      <c r="H50" s="29" t="s">
        <v>256</v>
      </c>
      <c r="I50" s="29"/>
      <c r="J50" s="32" t="s">
        <v>21</v>
      </c>
      <c r="K50" s="60" t="s">
        <v>35</v>
      </c>
      <c r="L50" s="29" t="s">
        <v>23</v>
      </c>
      <c r="M50" s="31">
        <v>46287.0</v>
      </c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22.5" customHeight="1">
      <c r="A51" s="26">
        <f t="shared" si="1"/>
        <v>45</v>
      </c>
      <c r="B51" s="32" t="s">
        <v>90</v>
      </c>
      <c r="C51" s="28" t="str">
        <f t="shared" si="2"/>
        <v>TC-045</v>
      </c>
      <c r="D51" s="29" t="s">
        <v>257</v>
      </c>
      <c r="E51" s="29" t="s">
        <v>258</v>
      </c>
      <c r="F51" s="29" t="s">
        <v>259</v>
      </c>
      <c r="G51" s="29" t="s">
        <v>260</v>
      </c>
      <c r="H51" s="29" t="s">
        <v>261</v>
      </c>
      <c r="I51" s="29"/>
      <c r="J51" s="32" t="s">
        <v>21</v>
      </c>
      <c r="K51" s="60" t="s">
        <v>22</v>
      </c>
      <c r="L51" s="29" t="s">
        <v>23</v>
      </c>
      <c r="M51" s="31">
        <v>46287.0</v>
      </c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22.5" customHeight="1">
      <c r="A52" s="26">
        <f t="shared" si="1"/>
        <v>46</v>
      </c>
      <c r="B52" s="32" t="s">
        <v>90</v>
      </c>
      <c r="C52" s="28" t="str">
        <f t="shared" si="2"/>
        <v>TC-046</v>
      </c>
      <c r="D52" s="29" t="s">
        <v>262</v>
      </c>
      <c r="E52" s="29" t="s">
        <v>263</v>
      </c>
      <c r="F52" s="29" t="s">
        <v>264</v>
      </c>
      <c r="G52" s="29" t="s">
        <v>265</v>
      </c>
      <c r="H52" s="29" t="s">
        <v>266</v>
      </c>
      <c r="I52" s="29"/>
      <c r="J52" s="32" t="s">
        <v>21</v>
      </c>
      <c r="K52" s="60" t="s">
        <v>22</v>
      </c>
      <c r="L52" s="29" t="s">
        <v>23</v>
      </c>
      <c r="M52" s="31">
        <v>46287.0</v>
      </c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22.5" customHeight="1">
      <c r="A53" s="26">
        <f t="shared" si="1"/>
        <v>47</v>
      </c>
      <c r="B53" s="32" t="s">
        <v>90</v>
      </c>
      <c r="C53" s="28" t="str">
        <f t="shared" si="2"/>
        <v>TC-047</v>
      </c>
      <c r="D53" s="29" t="s">
        <v>267</v>
      </c>
      <c r="E53" s="29" t="s">
        <v>268</v>
      </c>
      <c r="F53" s="29" t="s">
        <v>269</v>
      </c>
      <c r="G53" s="29" t="s">
        <v>270</v>
      </c>
      <c r="H53" s="29" t="s">
        <v>271</v>
      </c>
      <c r="I53" s="29"/>
      <c r="J53" s="32" t="s">
        <v>21</v>
      </c>
      <c r="K53" s="60" t="s">
        <v>35</v>
      </c>
      <c r="L53" s="29" t="s">
        <v>23</v>
      </c>
      <c r="M53" s="31">
        <v>46287.0</v>
      </c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22.5" customHeight="1">
      <c r="A54" s="26">
        <f t="shared" si="1"/>
        <v>48</v>
      </c>
      <c r="B54" s="32" t="s">
        <v>90</v>
      </c>
      <c r="C54" s="28" t="str">
        <f t="shared" si="2"/>
        <v>TC-048</v>
      </c>
      <c r="D54" s="29" t="s">
        <v>272</v>
      </c>
      <c r="E54" s="29" t="s">
        <v>273</v>
      </c>
      <c r="F54" s="29" t="s">
        <v>274</v>
      </c>
      <c r="G54" s="29" t="s">
        <v>275</v>
      </c>
      <c r="H54" s="29" t="s">
        <v>276</v>
      </c>
      <c r="I54" s="29"/>
      <c r="J54" s="32" t="s">
        <v>21</v>
      </c>
      <c r="K54" s="60" t="s">
        <v>22</v>
      </c>
      <c r="L54" s="29" t="s">
        <v>23</v>
      </c>
      <c r="M54" s="31">
        <v>46287.0</v>
      </c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22.5" customHeight="1">
      <c r="A55" s="26">
        <f t="shared" si="1"/>
        <v>49</v>
      </c>
      <c r="B55" s="32" t="s">
        <v>90</v>
      </c>
      <c r="C55" s="28" t="str">
        <f t="shared" si="2"/>
        <v>TC-049</v>
      </c>
      <c r="D55" s="29" t="s">
        <v>277</v>
      </c>
      <c r="E55" s="29" t="s">
        <v>278</v>
      </c>
      <c r="F55" s="29" t="s">
        <v>279</v>
      </c>
      <c r="G55" s="29" t="s">
        <v>280</v>
      </c>
      <c r="H55" s="29" t="s">
        <v>281</v>
      </c>
      <c r="I55" s="29"/>
      <c r="J55" s="32" t="s">
        <v>21</v>
      </c>
      <c r="K55" s="60" t="s">
        <v>22</v>
      </c>
      <c r="L55" s="29" t="s">
        <v>23</v>
      </c>
      <c r="M55" s="31">
        <v>46287.0</v>
      </c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22.5" customHeight="1">
      <c r="A56" s="26">
        <f t="shared" si="1"/>
        <v>50</v>
      </c>
      <c r="B56" s="32" t="s">
        <v>90</v>
      </c>
      <c r="C56" s="28" t="str">
        <f t="shared" si="2"/>
        <v>TC-050</v>
      </c>
      <c r="D56" s="29" t="s">
        <v>282</v>
      </c>
      <c r="E56" s="29" t="s">
        <v>283</v>
      </c>
      <c r="F56" s="29" t="s">
        <v>284</v>
      </c>
      <c r="G56" s="29" t="s">
        <v>265</v>
      </c>
      <c r="H56" s="29" t="s">
        <v>285</v>
      </c>
      <c r="I56" s="29"/>
      <c r="J56" s="32" t="s">
        <v>21</v>
      </c>
      <c r="K56" s="60" t="s">
        <v>22</v>
      </c>
      <c r="L56" s="29" t="s">
        <v>23</v>
      </c>
      <c r="M56" s="31">
        <v>46287.0</v>
      </c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22.5" customHeight="1">
      <c r="A57" s="26">
        <f t="shared" si="1"/>
        <v>51</v>
      </c>
      <c r="B57" s="32" t="s">
        <v>90</v>
      </c>
      <c r="C57" s="28" t="str">
        <f t="shared" si="2"/>
        <v>TC-051</v>
      </c>
      <c r="D57" s="29" t="s">
        <v>286</v>
      </c>
      <c r="E57" s="29" t="s">
        <v>283</v>
      </c>
      <c r="F57" s="29" t="s">
        <v>287</v>
      </c>
      <c r="G57" s="29" t="s">
        <v>265</v>
      </c>
      <c r="H57" s="29" t="s">
        <v>288</v>
      </c>
      <c r="I57" s="29"/>
      <c r="J57" s="32" t="s">
        <v>52</v>
      </c>
      <c r="K57" s="60" t="s">
        <v>35</v>
      </c>
      <c r="L57" s="29"/>
      <c r="M57" s="3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22.5" customHeight="1">
      <c r="A58" s="26">
        <f t="shared" si="1"/>
        <v>52</v>
      </c>
      <c r="B58" s="27" t="s">
        <v>90</v>
      </c>
      <c r="C58" s="28" t="str">
        <f t="shared" si="2"/>
        <v>TC-052</v>
      </c>
      <c r="D58" s="29" t="s">
        <v>289</v>
      </c>
      <c r="E58" s="29" t="s">
        <v>290</v>
      </c>
      <c r="F58" s="29" t="s">
        <v>291</v>
      </c>
      <c r="G58" s="29" t="s">
        <v>292</v>
      </c>
      <c r="H58" s="29" t="s">
        <v>293</v>
      </c>
      <c r="I58" s="29"/>
      <c r="J58" s="27" t="s">
        <v>21</v>
      </c>
      <c r="K58" s="30" t="s">
        <v>35</v>
      </c>
      <c r="L58" s="29" t="s">
        <v>23</v>
      </c>
      <c r="M58" s="31">
        <v>46282.0</v>
      </c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22.5" customHeight="1">
      <c r="A59" s="26">
        <f t="shared" si="1"/>
        <v>53</v>
      </c>
      <c r="B59" s="32" t="s">
        <v>90</v>
      </c>
      <c r="C59" s="28" t="str">
        <f t="shared" si="2"/>
        <v>TC-053</v>
      </c>
      <c r="D59" s="29" t="s">
        <v>294</v>
      </c>
      <c r="E59" s="29"/>
      <c r="F59" s="29" t="s">
        <v>295</v>
      </c>
      <c r="G59" s="29" t="s">
        <v>296</v>
      </c>
      <c r="H59" s="29" t="s">
        <v>297</v>
      </c>
      <c r="I59" s="29"/>
      <c r="J59" s="32" t="s">
        <v>52</v>
      </c>
      <c r="K59" s="60" t="s">
        <v>78</v>
      </c>
      <c r="L59" s="29"/>
      <c r="M59" s="3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22.5" customHeight="1">
      <c r="A60" s="26">
        <f t="shared" si="1"/>
        <v>54</v>
      </c>
      <c r="B60" s="32" t="s">
        <v>90</v>
      </c>
      <c r="C60" s="28" t="str">
        <f t="shared" si="2"/>
        <v>TC-054</v>
      </c>
      <c r="D60" s="29" t="s">
        <v>298</v>
      </c>
      <c r="E60" s="29"/>
      <c r="F60" s="29" t="s">
        <v>299</v>
      </c>
      <c r="G60" s="29" t="s">
        <v>300</v>
      </c>
      <c r="H60" s="29" t="s">
        <v>301</v>
      </c>
      <c r="I60" s="29"/>
      <c r="J60" s="32" t="s">
        <v>52</v>
      </c>
      <c r="K60" s="60" t="s">
        <v>78</v>
      </c>
      <c r="L60" s="29"/>
      <c r="M60" s="3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22.5" customHeight="1">
      <c r="A61" s="26">
        <f t="shared" si="1"/>
        <v>55</v>
      </c>
      <c r="B61" s="27" t="s">
        <v>90</v>
      </c>
      <c r="C61" s="28" t="str">
        <f t="shared" si="2"/>
        <v>TC-055</v>
      </c>
      <c r="D61" s="29" t="s">
        <v>302</v>
      </c>
      <c r="E61" s="29" t="s">
        <v>303</v>
      </c>
      <c r="F61" s="29" t="s">
        <v>304</v>
      </c>
      <c r="G61" s="29" t="s">
        <v>305</v>
      </c>
      <c r="H61" s="29" t="s">
        <v>306</v>
      </c>
      <c r="I61" s="29"/>
      <c r="J61" s="27" t="s">
        <v>52</v>
      </c>
      <c r="K61" s="30" t="s">
        <v>22</v>
      </c>
      <c r="L61" s="29"/>
      <c r="M61" s="3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22.5" customHeight="1">
      <c r="A62" s="26">
        <f t="shared" si="1"/>
        <v>56</v>
      </c>
      <c r="B62" s="27" t="s">
        <v>90</v>
      </c>
      <c r="C62" s="28" t="str">
        <f t="shared" si="2"/>
        <v>TC-056</v>
      </c>
      <c r="D62" s="29" t="s">
        <v>307</v>
      </c>
      <c r="E62" s="29" t="s">
        <v>308</v>
      </c>
      <c r="F62" s="29" t="s">
        <v>309</v>
      </c>
      <c r="G62" s="29" t="s">
        <v>310</v>
      </c>
      <c r="H62" s="29" t="s">
        <v>311</v>
      </c>
      <c r="I62" s="29"/>
      <c r="J62" s="27" t="s">
        <v>21</v>
      </c>
      <c r="K62" s="30" t="s">
        <v>22</v>
      </c>
      <c r="L62" s="29" t="s">
        <v>23</v>
      </c>
      <c r="M62" s="31">
        <v>46282.0</v>
      </c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22.5" customHeight="1">
      <c r="A63" s="26">
        <f t="shared" si="1"/>
        <v>57</v>
      </c>
      <c r="B63" s="27" t="s">
        <v>90</v>
      </c>
      <c r="C63" s="28" t="str">
        <f t="shared" si="2"/>
        <v>TC-057</v>
      </c>
      <c r="D63" s="29" t="s">
        <v>312</v>
      </c>
      <c r="E63" s="29" t="s">
        <v>313</v>
      </c>
      <c r="F63" s="29" t="s">
        <v>304</v>
      </c>
      <c r="G63" s="29" t="s">
        <v>314</v>
      </c>
      <c r="H63" s="29" t="s">
        <v>315</v>
      </c>
      <c r="I63" s="29"/>
      <c r="J63" s="27" t="s">
        <v>21</v>
      </c>
      <c r="K63" s="30" t="s">
        <v>22</v>
      </c>
      <c r="L63" s="29" t="s">
        <v>23</v>
      </c>
      <c r="M63" s="31">
        <v>46282.0</v>
      </c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22.5" customHeight="1">
      <c r="A64" s="26">
        <f t="shared" si="1"/>
        <v>58</v>
      </c>
      <c r="B64" s="27" t="s">
        <v>90</v>
      </c>
      <c r="C64" s="28" t="str">
        <f t="shared" si="2"/>
        <v>TC-058</v>
      </c>
      <c r="D64" s="29" t="s">
        <v>316</v>
      </c>
      <c r="E64" s="29" t="s">
        <v>317</v>
      </c>
      <c r="F64" s="29" t="s">
        <v>318</v>
      </c>
      <c r="G64" s="29" t="s">
        <v>319</v>
      </c>
      <c r="H64" s="29" t="s">
        <v>320</v>
      </c>
      <c r="I64" s="29"/>
      <c r="J64" s="27" t="s">
        <v>21</v>
      </c>
      <c r="K64" s="30" t="s">
        <v>22</v>
      </c>
      <c r="L64" s="29" t="s">
        <v>23</v>
      </c>
      <c r="M64" s="31">
        <v>46282.0</v>
      </c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22.5" customHeight="1">
      <c r="A65" s="26">
        <f t="shared" si="1"/>
        <v>59</v>
      </c>
      <c r="B65" s="27" t="s">
        <v>90</v>
      </c>
      <c r="C65" s="28" t="str">
        <f t="shared" si="2"/>
        <v>TC-059</v>
      </c>
      <c r="D65" s="29" t="s">
        <v>321</v>
      </c>
      <c r="E65" s="29" t="s">
        <v>317</v>
      </c>
      <c r="F65" s="29" t="s">
        <v>322</v>
      </c>
      <c r="G65" s="29"/>
      <c r="H65" s="29" t="s">
        <v>323</v>
      </c>
      <c r="I65" s="29"/>
      <c r="J65" s="27" t="s">
        <v>21</v>
      </c>
      <c r="K65" s="30" t="s">
        <v>22</v>
      </c>
      <c r="L65" s="29" t="s">
        <v>23</v>
      </c>
      <c r="M65" s="31">
        <v>46282.0</v>
      </c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22.5" customHeight="1">
      <c r="A66" s="26">
        <f t="shared" si="1"/>
        <v>60</v>
      </c>
      <c r="B66" s="27" t="s">
        <v>90</v>
      </c>
      <c r="C66" s="28" t="str">
        <f t="shared" si="2"/>
        <v>TC-060</v>
      </c>
      <c r="D66" s="29" t="s">
        <v>324</v>
      </c>
      <c r="E66" s="29" t="s">
        <v>325</v>
      </c>
      <c r="F66" s="29" t="s">
        <v>326</v>
      </c>
      <c r="G66" s="29" t="s">
        <v>327</v>
      </c>
      <c r="H66" s="29" t="s">
        <v>328</v>
      </c>
      <c r="I66" s="29"/>
      <c r="J66" s="27" t="s">
        <v>52</v>
      </c>
      <c r="K66" s="30" t="s">
        <v>35</v>
      </c>
      <c r="L66" s="29"/>
      <c r="M66" s="3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22.5" customHeight="1">
      <c r="A67" s="26">
        <f t="shared" si="1"/>
        <v>61</v>
      </c>
      <c r="B67" s="27" t="s">
        <v>90</v>
      </c>
      <c r="C67" s="28" t="str">
        <f t="shared" si="2"/>
        <v>TC-061</v>
      </c>
      <c r="D67" s="29" t="s">
        <v>329</v>
      </c>
      <c r="E67" s="29" t="s">
        <v>330</v>
      </c>
      <c r="F67" s="29" t="s">
        <v>331</v>
      </c>
      <c r="G67" s="29" t="s">
        <v>332</v>
      </c>
      <c r="H67" s="29" t="s">
        <v>333</v>
      </c>
      <c r="I67" s="29"/>
      <c r="J67" s="27" t="s">
        <v>21</v>
      </c>
      <c r="K67" s="30" t="s">
        <v>22</v>
      </c>
      <c r="L67" s="29" t="s">
        <v>23</v>
      </c>
      <c r="M67" s="31">
        <v>46282.0</v>
      </c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22.5" customHeight="1">
      <c r="A68" s="26">
        <f t="shared" si="1"/>
        <v>62</v>
      </c>
      <c r="B68" s="32" t="s">
        <v>90</v>
      </c>
      <c r="C68" s="28" t="str">
        <f t="shared" si="2"/>
        <v>TC-062</v>
      </c>
      <c r="D68" s="29" t="s">
        <v>334</v>
      </c>
      <c r="E68" s="29" t="s">
        <v>335</v>
      </c>
      <c r="F68" s="29" t="s">
        <v>336</v>
      </c>
      <c r="G68" s="29" t="s">
        <v>337</v>
      </c>
      <c r="H68" s="29" t="s">
        <v>338</v>
      </c>
      <c r="I68" s="29"/>
      <c r="J68" s="32" t="s">
        <v>52</v>
      </c>
      <c r="K68" s="60" t="s">
        <v>22</v>
      </c>
      <c r="L68" s="29"/>
      <c r="M68" s="3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22.5" customHeight="1">
      <c r="A69" s="26">
        <f t="shared" si="1"/>
        <v>63</v>
      </c>
      <c r="B69" s="32" t="s">
        <v>90</v>
      </c>
      <c r="C69" s="28" t="str">
        <f t="shared" si="2"/>
        <v>TC-063</v>
      </c>
      <c r="D69" s="29" t="s">
        <v>339</v>
      </c>
      <c r="E69" s="29" t="s">
        <v>340</v>
      </c>
      <c r="F69" s="29" t="s">
        <v>336</v>
      </c>
      <c r="G69" s="29" t="s">
        <v>341</v>
      </c>
      <c r="H69" s="29" t="s">
        <v>342</v>
      </c>
      <c r="I69" s="29"/>
      <c r="J69" s="32" t="s">
        <v>52</v>
      </c>
      <c r="K69" s="60" t="s">
        <v>22</v>
      </c>
      <c r="L69" s="29"/>
      <c r="M69" s="3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22.5" customHeight="1">
      <c r="A70" s="26">
        <f t="shared" si="1"/>
        <v>64</v>
      </c>
      <c r="B70" s="32" t="s">
        <v>90</v>
      </c>
      <c r="C70" s="28" t="str">
        <f t="shared" si="2"/>
        <v>TC-064</v>
      </c>
      <c r="D70" s="29" t="s">
        <v>343</v>
      </c>
      <c r="E70" s="29" t="s">
        <v>344</v>
      </c>
      <c r="F70" s="29" t="s">
        <v>345</v>
      </c>
      <c r="G70" s="29" t="s">
        <v>346</v>
      </c>
      <c r="H70" s="29" t="s">
        <v>347</v>
      </c>
      <c r="I70" s="29"/>
      <c r="J70" s="32" t="s">
        <v>52</v>
      </c>
      <c r="K70" s="60" t="s">
        <v>22</v>
      </c>
      <c r="L70" s="29"/>
      <c r="M70" s="3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22.5" customHeight="1">
      <c r="A71" s="26">
        <f t="shared" si="1"/>
        <v>65</v>
      </c>
      <c r="B71" s="32" t="s">
        <v>90</v>
      </c>
      <c r="C71" s="28" t="str">
        <f t="shared" si="2"/>
        <v>TC-065</v>
      </c>
      <c r="D71" s="29" t="s">
        <v>348</v>
      </c>
      <c r="E71" s="29" t="s">
        <v>349</v>
      </c>
      <c r="F71" s="29" t="s">
        <v>350</v>
      </c>
      <c r="G71" s="29" t="s">
        <v>351</v>
      </c>
      <c r="H71" s="29" t="s">
        <v>352</v>
      </c>
      <c r="I71" s="29"/>
      <c r="J71" s="32" t="s">
        <v>52</v>
      </c>
      <c r="K71" s="60" t="s">
        <v>22</v>
      </c>
      <c r="L71" s="29"/>
      <c r="M71" s="3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22.5" customHeight="1">
      <c r="A72" s="26">
        <f t="shared" si="1"/>
        <v>66</v>
      </c>
      <c r="B72" s="32" t="s">
        <v>90</v>
      </c>
      <c r="C72" s="28" t="str">
        <f t="shared" si="2"/>
        <v>TC-066</v>
      </c>
      <c r="D72" s="29" t="s">
        <v>353</v>
      </c>
      <c r="E72" s="29" t="s">
        <v>354</v>
      </c>
      <c r="F72" s="29" t="s">
        <v>355</v>
      </c>
      <c r="G72" s="29" t="s">
        <v>351</v>
      </c>
      <c r="H72" s="29" t="s">
        <v>356</v>
      </c>
      <c r="I72" s="29"/>
      <c r="J72" s="32" t="s">
        <v>52</v>
      </c>
      <c r="K72" s="60" t="s">
        <v>35</v>
      </c>
      <c r="L72" s="29"/>
      <c r="M72" s="3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22.5" customHeight="1">
      <c r="A73" s="26">
        <f t="shared" si="1"/>
        <v>67</v>
      </c>
      <c r="B73" s="32" t="s">
        <v>90</v>
      </c>
      <c r="C73" s="28" t="str">
        <f t="shared" si="2"/>
        <v>TC-067</v>
      </c>
      <c r="D73" s="29" t="s">
        <v>357</v>
      </c>
      <c r="E73" s="29" t="s">
        <v>358</v>
      </c>
      <c r="F73" s="29" t="s">
        <v>359</v>
      </c>
      <c r="G73" s="29"/>
      <c r="H73" s="29" t="s">
        <v>360</v>
      </c>
      <c r="I73" s="29"/>
      <c r="J73" s="32" t="s">
        <v>21</v>
      </c>
      <c r="K73" s="60" t="s">
        <v>22</v>
      </c>
      <c r="L73" s="29" t="s">
        <v>23</v>
      </c>
      <c r="M73" s="31">
        <v>46286.0</v>
      </c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22.5" customHeight="1">
      <c r="A74" s="26">
        <f t="shared" si="1"/>
        <v>68</v>
      </c>
      <c r="B74" s="32" t="s">
        <v>90</v>
      </c>
      <c r="C74" s="28" t="str">
        <f t="shared" si="2"/>
        <v>TC-068</v>
      </c>
      <c r="D74" s="29" t="s">
        <v>361</v>
      </c>
      <c r="E74" s="29" t="s">
        <v>362</v>
      </c>
      <c r="F74" s="29" t="s">
        <v>363</v>
      </c>
      <c r="G74" s="29"/>
      <c r="H74" s="29" t="s">
        <v>364</v>
      </c>
      <c r="I74" s="29"/>
      <c r="J74" s="32" t="s">
        <v>52</v>
      </c>
      <c r="K74" s="60" t="s">
        <v>22</v>
      </c>
      <c r="L74" s="29"/>
      <c r="M74" s="3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22.5" customHeight="1">
      <c r="A75" s="26">
        <f t="shared" si="1"/>
        <v>69</v>
      </c>
      <c r="B75" s="32" t="s">
        <v>90</v>
      </c>
      <c r="C75" s="28" t="str">
        <f t="shared" si="2"/>
        <v>TC-069</v>
      </c>
      <c r="D75" s="29" t="s">
        <v>365</v>
      </c>
      <c r="E75" s="29" t="s">
        <v>366</v>
      </c>
      <c r="F75" s="29" t="s">
        <v>367</v>
      </c>
      <c r="G75" s="29"/>
      <c r="H75" s="29" t="s">
        <v>368</v>
      </c>
      <c r="I75" s="29"/>
      <c r="J75" s="32" t="s">
        <v>52</v>
      </c>
      <c r="K75" s="60" t="s">
        <v>22</v>
      </c>
      <c r="L75" s="29"/>
      <c r="M75" s="3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22.5" customHeight="1">
      <c r="A76" s="26">
        <f t="shared" si="1"/>
        <v>70</v>
      </c>
      <c r="B76" s="32" t="s">
        <v>90</v>
      </c>
      <c r="C76" s="28" t="str">
        <f t="shared" si="2"/>
        <v>TC-070</v>
      </c>
      <c r="D76" s="29" t="s">
        <v>369</v>
      </c>
      <c r="E76" s="29" t="s">
        <v>370</v>
      </c>
      <c r="F76" s="29" t="s">
        <v>371</v>
      </c>
      <c r="G76" s="29"/>
      <c r="H76" s="29" t="s">
        <v>372</v>
      </c>
      <c r="I76" s="29"/>
      <c r="J76" s="32" t="s">
        <v>52</v>
      </c>
      <c r="K76" s="60" t="s">
        <v>22</v>
      </c>
      <c r="L76" s="29"/>
      <c r="M76" s="3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22.5" customHeight="1">
      <c r="A77" s="26">
        <f t="shared" si="1"/>
        <v>71</v>
      </c>
      <c r="B77" s="32" t="s">
        <v>90</v>
      </c>
      <c r="C77" s="28" t="str">
        <f t="shared" si="2"/>
        <v>TC-071</v>
      </c>
      <c r="D77" s="29" t="s">
        <v>373</v>
      </c>
      <c r="E77" s="29" t="s">
        <v>374</v>
      </c>
      <c r="F77" s="29" t="s">
        <v>375</v>
      </c>
      <c r="G77" s="29" t="s">
        <v>376</v>
      </c>
      <c r="H77" s="29" t="s">
        <v>377</v>
      </c>
      <c r="I77" s="29"/>
      <c r="J77" s="32" t="s">
        <v>52</v>
      </c>
      <c r="K77" s="60" t="s">
        <v>22</v>
      </c>
      <c r="L77" s="29"/>
      <c r="M77" s="3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22.5" customHeight="1">
      <c r="A78" s="26">
        <f t="shared" si="1"/>
        <v>72</v>
      </c>
      <c r="B78" s="32" t="s">
        <v>90</v>
      </c>
      <c r="C78" s="28" t="str">
        <f t="shared" si="2"/>
        <v>TC-072</v>
      </c>
      <c r="D78" s="29" t="s">
        <v>378</v>
      </c>
      <c r="E78" s="29" t="s">
        <v>379</v>
      </c>
      <c r="F78" s="29" t="s">
        <v>380</v>
      </c>
      <c r="G78" s="29"/>
      <c r="H78" s="29" t="s">
        <v>381</v>
      </c>
      <c r="I78" s="29"/>
      <c r="J78" s="32" t="s">
        <v>52</v>
      </c>
      <c r="K78" s="60" t="s">
        <v>22</v>
      </c>
      <c r="L78" s="29"/>
      <c r="M78" s="3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22.5" customHeight="1">
      <c r="A79" s="26">
        <f t="shared" si="1"/>
        <v>73</v>
      </c>
      <c r="B79" s="32" t="s">
        <v>95</v>
      </c>
      <c r="C79" s="28" t="str">
        <f t="shared" si="2"/>
        <v>TC-073</v>
      </c>
      <c r="D79" s="29" t="s">
        <v>382</v>
      </c>
      <c r="E79" s="29" t="s">
        <v>383</v>
      </c>
      <c r="F79" s="29" t="s">
        <v>384</v>
      </c>
      <c r="G79" s="29" t="s">
        <v>385</v>
      </c>
      <c r="H79" s="29" t="s">
        <v>386</v>
      </c>
      <c r="I79" s="29"/>
      <c r="J79" s="32" t="s">
        <v>21</v>
      </c>
      <c r="K79" s="60" t="s">
        <v>22</v>
      </c>
      <c r="L79" s="29" t="s">
        <v>23</v>
      </c>
      <c r="M79" s="31">
        <v>46287.0</v>
      </c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22.5" customHeight="1">
      <c r="A80" s="26">
        <f t="shared" si="1"/>
        <v>74</v>
      </c>
      <c r="B80" s="32" t="s">
        <v>95</v>
      </c>
      <c r="C80" s="28" t="str">
        <f t="shared" si="2"/>
        <v>TC-074</v>
      </c>
      <c r="D80" s="29" t="s">
        <v>387</v>
      </c>
      <c r="E80" s="29" t="s">
        <v>388</v>
      </c>
      <c r="F80" s="29" t="s">
        <v>389</v>
      </c>
      <c r="G80" s="29" t="s">
        <v>390</v>
      </c>
      <c r="H80" s="29" t="s">
        <v>391</v>
      </c>
      <c r="I80" s="29"/>
      <c r="J80" s="32" t="s">
        <v>21</v>
      </c>
      <c r="K80" s="60" t="s">
        <v>22</v>
      </c>
      <c r="L80" s="29" t="s">
        <v>23</v>
      </c>
      <c r="M80" s="31">
        <v>46287.0</v>
      </c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22.5" customHeight="1">
      <c r="A81" s="26">
        <f t="shared" si="1"/>
        <v>75</v>
      </c>
      <c r="B81" s="32" t="s">
        <v>95</v>
      </c>
      <c r="C81" s="28" t="str">
        <f t="shared" si="2"/>
        <v>TC-075</v>
      </c>
      <c r="D81" s="29" t="s">
        <v>392</v>
      </c>
      <c r="E81" s="29" t="s">
        <v>393</v>
      </c>
      <c r="F81" s="29" t="s">
        <v>394</v>
      </c>
      <c r="G81" s="29" t="s">
        <v>395</v>
      </c>
      <c r="H81" s="29" t="s">
        <v>396</v>
      </c>
      <c r="I81" s="29"/>
      <c r="J81" s="32" t="s">
        <v>21</v>
      </c>
      <c r="K81" s="60" t="s">
        <v>22</v>
      </c>
      <c r="L81" s="29" t="s">
        <v>23</v>
      </c>
      <c r="M81" s="31">
        <v>46287.0</v>
      </c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22.5" customHeight="1">
      <c r="A82" s="26">
        <f t="shared" si="1"/>
        <v>76</v>
      </c>
      <c r="B82" s="32" t="s">
        <v>95</v>
      </c>
      <c r="C82" s="28" t="str">
        <f t="shared" si="2"/>
        <v>TC-076</v>
      </c>
      <c r="D82" s="29" t="s">
        <v>397</v>
      </c>
      <c r="E82" s="29" t="s">
        <v>398</v>
      </c>
      <c r="F82" s="29" t="s">
        <v>399</v>
      </c>
      <c r="G82" s="29" t="s">
        <v>400</v>
      </c>
      <c r="H82" s="29" t="s">
        <v>401</v>
      </c>
      <c r="I82" s="29"/>
      <c r="J82" s="32" t="s">
        <v>21</v>
      </c>
      <c r="K82" s="60" t="s">
        <v>35</v>
      </c>
      <c r="L82" s="29" t="s">
        <v>23</v>
      </c>
      <c r="M82" s="31">
        <v>46287.0</v>
      </c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22.5" customHeight="1">
      <c r="A83" s="26">
        <f t="shared" si="1"/>
        <v>77</v>
      </c>
      <c r="B83" s="32" t="s">
        <v>95</v>
      </c>
      <c r="C83" s="28" t="str">
        <f t="shared" si="2"/>
        <v>TC-077</v>
      </c>
      <c r="D83" s="29" t="s">
        <v>402</v>
      </c>
      <c r="E83" s="29" t="s">
        <v>398</v>
      </c>
      <c r="F83" s="29" t="s">
        <v>403</v>
      </c>
      <c r="G83" s="29" t="s">
        <v>404</v>
      </c>
      <c r="H83" s="29" t="s">
        <v>405</v>
      </c>
      <c r="I83" s="29"/>
      <c r="J83" s="32" t="s">
        <v>21</v>
      </c>
      <c r="K83" s="60" t="s">
        <v>22</v>
      </c>
      <c r="L83" s="29" t="s">
        <v>23</v>
      </c>
      <c r="M83" s="31">
        <v>46287.0</v>
      </c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22.5" customHeight="1">
      <c r="A84" s="26">
        <f t="shared" si="1"/>
        <v>78</v>
      </c>
      <c r="B84" s="32" t="s">
        <v>95</v>
      </c>
      <c r="C84" s="28" t="str">
        <f t="shared" si="2"/>
        <v>TC-078</v>
      </c>
      <c r="D84" s="29" t="s">
        <v>406</v>
      </c>
      <c r="E84" s="29" t="s">
        <v>407</v>
      </c>
      <c r="F84" s="29" t="s">
        <v>408</v>
      </c>
      <c r="G84" s="29" t="s">
        <v>409</v>
      </c>
      <c r="H84" s="29" t="s">
        <v>410</v>
      </c>
      <c r="I84" s="29"/>
      <c r="J84" s="32" t="s">
        <v>21</v>
      </c>
      <c r="K84" s="60" t="s">
        <v>22</v>
      </c>
      <c r="L84" s="29" t="s">
        <v>23</v>
      </c>
      <c r="M84" s="31">
        <v>46287.0</v>
      </c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22.5" customHeight="1">
      <c r="A85" s="26">
        <f t="shared" si="1"/>
        <v>79</v>
      </c>
      <c r="B85" s="32" t="s">
        <v>95</v>
      </c>
      <c r="C85" s="28" t="str">
        <f t="shared" si="2"/>
        <v>TC-079</v>
      </c>
      <c r="D85" s="29" t="s">
        <v>411</v>
      </c>
      <c r="E85" s="29" t="s">
        <v>412</v>
      </c>
      <c r="F85" s="29" t="s">
        <v>413</v>
      </c>
      <c r="G85" s="29" t="s">
        <v>414</v>
      </c>
      <c r="H85" s="29" t="s">
        <v>410</v>
      </c>
      <c r="I85" s="29"/>
      <c r="J85" s="32" t="s">
        <v>21</v>
      </c>
      <c r="K85" s="60" t="s">
        <v>22</v>
      </c>
      <c r="L85" s="29" t="s">
        <v>23</v>
      </c>
      <c r="M85" s="31">
        <v>46287.0</v>
      </c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22.5" customHeight="1">
      <c r="A86" s="26">
        <f t="shared" si="1"/>
        <v>80</v>
      </c>
      <c r="B86" s="32" t="s">
        <v>95</v>
      </c>
      <c r="C86" s="28" t="str">
        <f t="shared" si="2"/>
        <v>TC-080</v>
      </c>
      <c r="D86" s="29" t="s">
        <v>415</v>
      </c>
      <c r="E86" s="29" t="s">
        <v>416</v>
      </c>
      <c r="F86" s="29" t="s">
        <v>417</v>
      </c>
      <c r="G86" s="29" t="s">
        <v>418</v>
      </c>
      <c r="H86" s="29" t="s">
        <v>419</v>
      </c>
      <c r="I86" s="29"/>
      <c r="J86" s="32" t="s">
        <v>21</v>
      </c>
      <c r="K86" s="60" t="s">
        <v>35</v>
      </c>
      <c r="L86" s="29" t="s">
        <v>23</v>
      </c>
      <c r="M86" s="31">
        <v>46287.0</v>
      </c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22.5" customHeight="1">
      <c r="A87" s="26">
        <f t="shared" si="1"/>
        <v>81</v>
      </c>
      <c r="B87" s="32" t="s">
        <v>95</v>
      </c>
      <c r="C87" s="28" t="str">
        <f t="shared" si="2"/>
        <v>TC-081</v>
      </c>
      <c r="D87" s="29" t="s">
        <v>420</v>
      </c>
      <c r="E87" s="29" t="s">
        <v>421</v>
      </c>
      <c r="F87" s="29" t="s">
        <v>422</v>
      </c>
      <c r="G87" s="29" t="s">
        <v>423</v>
      </c>
      <c r="H87" s="29" t="s">
        <v>424</v>
      </c>
      <c r="I87" s="29"/>
      <c r="J87" s="32" t="s">
        <v>21</v>
      </c>
      <c r="K87" s="60" t="s">
        <v>35</v>
      </c>
      <c r="L87" s="29" t="s">
        <v>23</v>
      </c>
      <c r="M87" s="31">
        <v>46287.0</v>
      </c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22.5" customHeight="1">
      <c r="A88" s="26">
        <f t="shared" si="1"/>
        <v>82</v>
      </c>
      <c r="B88" s="32" t="s">
        <v>95</v>
      </c>
      <c r="C88" s="28" t="str">
        <f t="shared" si="2"/>
        <v>TC-082</v>
      </c>
      <c r="D88" s="29" t="s">
        <v>425</v>
      </c>
      <c r="E88" s="29" t="s">
        <v>426</v>
      </c>
      <c r="F88" s="29" t="s">
        <v>427</v>
      </c>
      <c r="G88" s="29" t="s">
        <v>428</v>
      </c>
      <c r="H88" s="29" t="s">
        <v>429</v>
      </c>
      <c r="I88" s="29"/>
      <c r="J88" s="32" t="s">
        <v>21</v>
      </c>
      <c r="K88" s="60" t="s">
        <v>22</v>
      </c>
      <c r="L88" s="29" t="s">
        <v>23</v>
      </c>
      <c r="M88" s="31">
        <v>46287.0</v>
      </c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22.5" customHeight="1">
      <c r="A89" s="26">
        <f t="shared" si="1"/>
        <v>83</v>
      </c>
      <c r="B89" s="32" t="s">
        <v>95</v>
      </c>
      <c r="C89" s="28" t="str">
        <f t="shared" si="2"/>
        <v>TC-083</v>
      </c>
      <c r="D89" s="29" t="s">
        <v>430</v>
      </c>
      <c r="E89" s="29" t="s">
        <v>426</v>
      </c>
      <c r="F89" s="29" t="s">
        <v>431</v>
      </c>
      <c r="G89" s="29" t="s">
        <v>432</v>
      </c>
      <c r="H89" s="29" t="s">
        <v>433</v>
      </c>
      <c r="I89" s="29"/>
      <c r="J89" s="32" t="s">
        <v>21</v>
      </c>
      <c r="K89" s="60" t="s">
        <v>35</v>
      </c>
      <c r="L89" s="29" t="s">
        <v>23</v>
      </c>
      <c r="M89" s="31">
        <v>46287.0</v>
      </c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22.5" customHeight="1">
      <c r="A90" s="26">
        <f t="shared" si="1"/>
        <v>84</v>
      </c>
      <c r="B90" s="32" t="s">
        <v>95</v>
      </c>
      <c r="C90" s="28" t="str">
        <f t="shared" si="2"/>
        <v>TC-084</v>
      </c>
      <c r="D90" s="29" t="s">
        <v>434</v>
      </c>
      <c r="E90" s="29" t="s">
        <v>435</v>
      </c>
      <c r="F90" s="29" t="s">
        <v>436</v>
      </c>
      <c r="G90" s="29" t="s">
        <v>437</v>
      </c>
      <c r="H90" s="29" t="s">
        <v>438</v>
      </c>
      <c r="I90" s="29"/>
      <c r="J90" s="32" t="s">
        <v>21</v>
      </c>
      <c r="K90" s="60" t="s">
        <v>35</v>
      </c>
      <c r="L90" s="29" t="s">
        <v>23</v>
      </c>
      <c r="M90" s="31">
        <v>46287.0</v>
      </c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22.5" customHeight="1">
      <c r="A91" s="26">
        <f t="shared" si="1"/>
        <v>85</v>
      </c>
      <c r="B91" s="32" t="s">
        <v>95</v>
      </c>
      <c r="C91" s="28" t="str">
        <f t="shared" si="2"/>
        <v>TC-085</v>
      </c>
      <c r="D91" s="29" t="s">
        <v>439</v>
      </c>
      <c r="E91" s="29" t="s">
        <v>440</v>
      </c>
      <c r="F91" s="29" t="s">
        <v>441</v>
      </c>
      <c r="G91" s="29" t="s">
        <v>442</v>
      </c>
      <c r="H91" s="29" t="s">
        <v>443</v>
      </c>
      <c r="I91" s="29"/>
      <c r="J91" s="32" t="s">
        <v>21</v>
      </c>
      <c r="K91" s="60" t="s">
        <v>35</v>
      </c>
      <c r="L91" s="29" t="s">
        <v>23</v>
      </c>
      <c r="M91" s="31">
        <v>46287.0</v>
      </c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22.5" customHeight="1">
      <c r="A92" s="26">
        <f t="shared" si="1"/>
        <v>86</v>
      </c>
      <c r="B92" s="32" t="s">
        <v>95</v>
      </c>
      <c r="C92" s="28" t="str">
        <f t="shared" si="2"/>
        <v>TC-086</v>
      </c>
      <c r="D92" s="29" t="s">
        <v>444</v>
      </c>
      <c r="E92" s="29" t="s">
        <v>445</v>
      </c>
      <c r="F92" s="29" t="s">
        <v>446</v>
      </c>
      <c r="G92" s="29" t="s">
        <v>447</v>
      </c>
      <c r="H92" s="29" t="s">
        <v>448</v>
      </c>
      <c r="I92" s="29"/>
      <c r="J92" s="32" t="s">
        <v>21</v>
      </c>
      <c r="K92" s="60" t="s">
        <v>35</v>
      </c>
      <c r="L92" s="29" t="s">
        <v>23</v>
      </c>
      <c r="M92" s="31">
        <v>46287.0</v>
      </c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22.5" customHeight="1">
      <c r="A93" s="26">
        <f t="shared" si="1"/>
        <v>87</v>
      </c>
      <c r="B93" s="32" t="s">
        <v>95</v>
      </c>
      <c r="C93" s="28" t="str">
        <f t="shared" si="2"/>
        <v>TC-087</v>
      </c>
      <c r="D93" s="29" t="s">
        <v>449</v>
      </c>
      <c r="E93" s="29" t="s">
        <v>450</v>
      </c>
      <c r="F93" s="29" t="s">
        <v>451</v>
      </c>
      <c r="G93" s="29" t="s">
        <v>452</v>
      </c>
      <c r="H93" s="29" t="s">
        <v>453</v>
      </c>
      <c r="I93" s="29"/>
      <c r="J93" s="32" t="s">
        <v>21</v>
      </c>
      <c r="K93" s="60" t="s">
        <v>35</v>
      </c>
      <c r="L93" s="29" t="s">
        <v>23</v>
      </c>
      <c r="M93" s="31">
        <v>46287.0</v>
      </c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22.5" customHeight="1">
      <c r="A94" s="26">
        <f t="shared" si="1"/>
        <v>88</v>
      </c>
      <c r="B94" s="32" t="s">
        <v>95</v>
      </c>
      <c r="C94" s="28" t="str">
        <f t="shared" si="2"/>
        <v>TC-088</v>
      </c>
      <c r="D94" s="29" t="s">
        <v>454</v>
      </c>
      <c r="E94" s="29" t="s">
        <v>450</v>
      </c>
      <c r="F94" s="29" t="s">
        <v>455</v>
      </c>
      <c r="G94" s="29" t="s">
        <v>437</v>
      </c>
      <c r="H94" s="29" t="s">
        <v>456</v>
      </c>
      <c r="I94" s="29"/>
      <c r="J94" s="32" t="s">
        <v>21</v>
      </c>
      <c r="K94" s="60" t="s">
        <v>78</v>
      </c>
      <c r="L94" s="29" t="s">
        <v>23</v>
      </c>
      <c r="M94" s="31">
        <v>46287.0</v>
      </c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22.5" customHeight="1">
      <c r="A95" s="26">
        <f t="shared" si="1"/>
        <v>89</v>
      </c>
      <c r="B95" s="32" t="s">
        <v>95</v>
      </c>
      <c r="C95" s="28" t="str">
        <f t="shared" si="2"/>
        <v>TC-089</v>
      </c>
      <c r="D95" s="29" t="s">
        <v>457</v>
      </c>
      <c r="E95" s="29" t="s">
        <v>458</v>
      </c>
      <c r="F95" s="29" t="s">
        <v>459</v>
      </c>
      <c r="G95" s="29" t="s">
        <v>460</v>
      </c>
      <c r="H95" s="29" t="s">
        <v>461</v>
      </c>
      <c r="I95" s="29"/>
      <c r="J95" s="32" t="s">
        <v>21</v>
      </c>
      <c r="K95" s="60" t="s">
        <v>78</v>
      </c>
      <c r="L95" s="29" t="s">
        <v>23</v>
      </c>
      <c r="M95" s="31">
        <v>46287.0</v>
      </c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22.5" customHeight="1">
      <c r="A96" s="26">
        <f t="shared" si="1"/>
        <v>90</v>
      </c>
      <c r="B96" s="32" t="s">
        <v>95</v>
      </c>
      <c r="C96" s="28" t="str">
        <f t="shared" si="2"/>
        <v>TC-090</v>
      </c>
      <c r="D96" s="29" t="s">
        <v>462</v>
      </c>
      <c r="E96" s="29" t="s">
        <v>463</v>
      </c>
      <c r="F96" s="29" t="s">
        <v>464</v>
      </c>
      <c r="G96" s="29" t="s">
        <v>442</v>
      </c>
      <c r="H96" s="29" t="s">
        <v>465</v>
      </c>
      <c r="I96" s="29"/>
      <c r="J96" s="32" t="s">
        <v>21</v>
      </c>
      <c r="K96" s="60" t="s">
        <v>35</v>
      </c>
      <c r="L96" s="29" t="s">
        <v>23</v>
      </c>
      <c r="M96" s="31">
        <v>46287.0</v>
      </c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22.5" customHeight="1">
      <c r="A97" s="26">
        <f t="shared" si="1"/>
        <v>91</v>
      </c>
      <c r="B97" s="32" t="s">
        <v>95</v>
      </c>
      <c r="C97" s="28" t="str">
        <f t="shared" si="2"/>
        <v>TC-091</v>
      </c>
      <c r="D97" s="29" t="s">
        <v>466</v>
      </c>
      <c r="E97" s="29" t="s">
        <v>463</v>
      </c>
      <c r="F97" s="29" t="s">
        <v>467</v>
      </c>
      <c r="G97" s="29" t="s">
        <v>442</v>
      </c>
      <c r="H97" s="29" t="s">
        <v>468</v>
      </c>
      <c r="I97" s="29"/>
      <c r="J97" s="32" t="s">
        <v>21</v>
      </c>
      <c r="K97" s="60" t="s">
        <v>22</v>
      </c>
      <c r="L97" s="29" t="s">
        <v>23</v>
      </c>
      <c r="M97" s="31">
        <v>46287.0</v>
      </c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22.5" customHeight="1">
      <c r="A98" s="26">
        <f t="shared" si="1"/>
        <v>92</v>
      </c>
      <c r="B98" s="32" t="s">
        <v>95</v>
      </c>
      <c r="C98" s="28" t="str">
        <f t="shared" si="2"/>
        <v>TC-092</v>
      </c>
      <c r="D98" s="29" t="s">
        <v>469</v>
      </c>
      <c r="E98" s="29" t="s">
        <v>470</v>
      </c>
      <c r="F98" s="29" t="s">
        <v>471</v>
      </c>
      <c r="G98" s="29" t="s">
        <v>472</v>
      </c>
      <c r="H98" s="29" t="s">
        <v>473</v>
      </c>
      <c r="I98" s="29"/>
      <c r="J98" s="32" t="s">
        <v>21</v>
      </c>
      <c r="K98" s="60" t="s">
        <v>22</v>
      </c>
      <c r="L98" s="29" t="s">
        <v>23</v>
      </c>
      <c r="M98" s="31">
        <v>46287.0</v>
      </c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22.5" customHeight="1">
      <c r="A99" s="26">
        <f t="shared" si="1"/>
        <v>93</v>
      </c>
      <c r="B99" s="32" t="s">
        <v>95</v>
      </c>
      <c r="C99" s="28" t="str">
        <f t="shared" si="2"/>
        <v>TC-093</v>
      </c>
      <c r="D99" s="29" t="s">
        <v>474</v>
      </c>
      <c r="E99" s="29" t="s">
        <v>475</v>
      </c>
      <c r="F99" s="29" t="s">
        <v>476</v>
      </c>
      <c r="G99" s="29" t="s">
        <v>477</v>
      </c>
      <c r="H99" s="29" t="s">
        <v>478</v>
      </c>
      <c r="I99" s="29"/>
      <c r="J99" s="32" t="s">
        <v>21</v>
      </c>
      <c r="K99" s="60" t="s">
        <v>22</v>
      </c>
      <c r="L99" s="29" t="s">
        <v>23</v>
      </c>
      <c r="M99" s="31">
        <v>46287.0</v>
      </c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22.5" customHeight="1">
      <c r="A100" s="26">
        <f t="shared" si="1"/>
        <v>94</v>
      </c>
      <c r="B100" s="32" t="s">
        <v>95</v>
      </c>
      <c r="C100" s="28" t="str">
        <f t="shared" si="2"/>
        <v>TC-094</v>
      </c>
      <c r="D100" s="29" t="s">
        <v>479</v>
      </c>
      <c r="E100" s="29" t="s">
        <v>463</v>
      </c>
      <c r="F100" s="29" t="s">
        <v>480</v>
      </c>
      <c r="G100" s="29" t="s">
        <v>481</v>
      </c>
      <c r="H100" s="29" t="s">
        <v>482</v>
      </c>
      <c r="I100" s="29"/>
      <c r="J100" s="32" t="s">
        <v>21</v>
      </c>
      <c r="K100" s="60" t="s">
        <v>35</v>
      </c>
      <c r="L100" s="29" t="s">
        <v>23</v>
      </c>
      <c r="M100" s="31">
        <v>46287.0</v>
      </c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22.5" customHeight="1">
      <c r="A101" s="26">
        <f t="shared" si="1"/>
        <v>95</v>
      </c>
      <c r="B101" s="32" t="s">
        <v>95</v>
      </c>
      <c r="C101" s="28" t="str">
        <f t="shared" si="2"/>
        <v>TC-095</v>
      </c>
      <c r="D101" s="29" t="s">
        <v>483</v>
      </c>
      <c r="E101" s="29" t="s">
        <v>484</v>
      </c>
      <c r="F101" s="29" t="s">
        <v>485</v>
      </c>
      <c r="G101" s="29" t="s">
        <v>250</v>
      </c>
      <c r="H101" s="29" t="s">
        <v>486</v>
      </c>
      <c r="I101" s="29"/>
      <c r="J101" s="32" t="s">
        <v>21</v>
      </c>
      <c r="K101" s="60" t="s">
        <v>35</v>
      </c>
      <c r="L101" s="29" t="s">
        <v>23</v>
      </c>
      <c r="M101" s="31">
        <v>46287.0</v>
      </c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22.5" customHeight="1">
      <c r="A102" s="26">
        <f t="shared" si="1"/>
        <v>96</v>
      </c>
      <c r="B102" s="32" t="s">
        <v>95</v>
      </c>
      <c r="C102" s="28" t="str">
        <f t="shared" si="2"/>
        <v>TC-096</v>
      </c>
      <c r="D102" s="29" t="s">
        <v>487</v>
      </c>
      <c r="E102" s="29" t="s">
        <v>488</v>
      </c>
      <c r="F102" s="29" t="s">
        <v>489</v>
      </c>
      <c r="G102" s="29" t="s">
        <v>490</v>
      </c>
      <c r="H102" s="29" t="s">
        <v>491</v>
      </c>
      <c r="I102" s="29"/>
      <c r="J102" s="32" t="s">
        <v>21</v>
      </c>
      <c r="K102" s="60" t="s">
        <v>35</v>
      </c>
      <c r="L102" s="29" t="s">
        <v>23</v>
      </c>
      <c r="M102" s="31">
        <v>46287.0</v>
      </c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22.5" customHeight="1">
      <c r="A103" s="26">
        <f t="shared" si="1"/>
        <v>97</v>
      </c>
      <c r="B103" s="27" t="s">
        <v>95</v>
      </c>
      <c r="C103" s="28" t="str">
        <f t="shared" si="2"/>
        <v>TC-097</v>
      </c>
      <c r="D103" s="29" t="s">
        <v>492</v>
      </c>
      <c r="E103" s="29" t="s">
        <v>493</v>
      </c>
      <c r="F103" s="29" t="s">
        <v>494</v>
      </c>
      <c r="G103" s="29" t="s">
        <v>428</v>
      </c>
      <c r="H103" s="29" t="s">
        <v>495</v>
      </c>
      <c r="I103" s="29"/>
      <c r="J103" s="27" t="s">
        <v>21</v>
      </c>
      <c r="K103" s="30" t="s">
        <v>22</v>
      </c>
      <c r="L103" s="29" t="s">
        <v>23</v>
      </c>
      <c r="M103" s="31">
        <v>46282.0</v>
      </c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22.5" customHeight="1">
      <c r="A104" s="26">
        <f t="shared" si="1"/>
        <v>98</v>
      </c>
      <c r="B104" s="32" t="s">
        <v>95</v>
      </c>
      <c r="C104" s="28" t="str">
        <f t="shared" si="2"/>
        <v>TC-098</v>
      </c>
      <c r="D104" s="29" t="s">
        <v>496</v>
      </c>
      <c r="E104" s="29" t="s">
        <v>497</v>
      </c>
      <c r="F104" s="29" t="s">
        <v>498</v>
      </c>
      <c r="G104" s="29" t="s">
        <v>499</v>
      </c>
      <c r="H104" s="29" t="s">
        <v>500</v>
      </c>
      <c r="I104" s="29"/>
      <c r="J104" s="32" t="s">
        <v>52</v>
      </c>
      <c r="K104" s="60" t="s">
        <v>22</v>
      </c>
      <c r="L104" s="29"/>
      <c r="M104" s="3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22.5" customHeight="1">
      <c r="A105" s="26">
        <f t="shared" si="1"/>
        <v>99</v>
      </c>
      <c r="B105" s="27" t="s">
        <v>95</v>
      </c>
      <c r="C105" s="28" t="str">
        <f t="shared" si="2"/>
        <v>TC-099</v>
      </c>
      <c r="D105" s="29" t="s">
        <v>501</v>
      </c>
      <c r="E105" s="29" t="s">
        <v>502</v>
      </c>
      <c r="F105" s="29" t="s">
        <v>503</v>
      </c>
      <c r="G105" s="29" t="s">
        <v>504</v>
      </c>
      <c r="H105" s="29" t="s">
        <v>505</v>
      </c>
      <c r="I105" s="29"/>
      <c r="J105" s="27" t="s">
        <v>52</v>
      </c>
      <c r="K105" s="30" t="s">
        <v>22</v>
      </c>
      <c r="L105" s="29"/>
      <c r="M105" s="3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22.5" customHeight="1">
      <c r="A106" s="26">
        <f t="shared" si="1"/>
        <v>100</v>
      </c>
      <c r="B106" s="27" t="s">
        <v>95</v>
      </c>
      <c r="C106" s="28" t="str">
        <f t="shared" si="2"/>
        <v>TC-100</v>
      </c>
      <c r="D106" s="29" t="s">
        <v>506</v>
      </c>
      <c r="E106" s="29" t="s">
        <v>507</v>
      </c>
      <c r="F106" s="29" t="s">
        <v>508</v>
      </c>
      <c r="G106" s="29" t="s">
        <v>509</v>
      </c>
      <c r="H106" s="29" t="s">
        <v>510</v>
      </c>
      <c r="I106" s="29"/>
      <c r="J106" s="27" t="s">
        <v>21</v>
      </c>
      <c r="K106" s="30" t="s">
        <v>22</v>
      </c>
      <c r="L106" s="29" t="s">
        <v>23</v>
      </c>
      <c r="M106" s="31">
        <v>46282.0</v>
      </c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22.5" customHeight="1">
      <c r="A107" s="26">
        <f t="shared" si="1"/>
        <v>101</v>
      </c>
      <c r="B107" s="27" t="s">
        <v>95</v>
      </c>
      <c r="C107" s="28" t="str">
        <f t="shared" si="2"/>
        <v>TC-101</v>
      </c>
      <c r="D107" s="29" t="s">
        <v>511</v>
      </c>
      <c r="E107" s="29" t="s">
        <v>512</v>
      </c>
      <c r="F107" s="29" t="s">
        <v>513</v>
      </c>
      <c r="G107" s="29" t="s">
        <v>514</v>
      </c>
      <c r="H107" s="29" t="s">
        <v>515</v>
      </c>
      <c r="I107" s="29"/>
      <c r="J107" s="27" t="s">
        <v>52</v>
      </c>
      <c r="K107" s="30" t="s">
        <v>22</v>
      </c>
      <c r="L107" s="29"/>
      <c r="M107" s="3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22.5" customHeight="1">
      <c r="A108" s="26">
        <f t="shared" si="1"/>
        <v>102</v>
      </c>
      <c r="B108" s="27" t="s">
        <v>95</v>
      </c>
      <c r="C108" s="28" t="str">
        <f t="shared" si="2"/>
        <v>TC-102</v>
      </c>
      <c r="D108" s="29" t="s">
        <v>516</v>
      </c>
      <c r="E108" s="29" t="s">
        <v>517</v>
      </c>
      <c r="F108" s="29" t="s">
        <v>518</v>
      </c>
      <c r="G108" s="29" t="s">
        <v>519</v>
      </c>
      <c r="H108" s="29" t="s">
        <v>520</v>
      </c>
      <c r="I108" s="29"/>
      <c r="J108" s="27" t="s">
        <v>21</v>
      </c>
      <c r="K108" s="30" t="s">
        <v>22</v>
      </c>
      <c r="L108" s="29" t="s">
        <v>23</v>
      </c>
      <c r="M108" s="31">
        <v>46282.0</v>
      </c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22.5" customHeight="1">
      <c r="A109" s="26">
        <f t="shared" si="1"/>
        <v>103</v>
      </c>
      <c r="B109" s="32" t="s">
        <v>95</v>
      </c>
      <c r="C109" s="28" t="str">
        <f t="shared" si="2"/>
        <v>TC-103</v>
      </c>
      <c r="D109" s="29" t="s">
        <v>521</v>
      </c>
      <c r="E109" s="29" t="s">
        <v>522</v>
      </c>
      <c r="F109" s="29" t="s">
        <v>523</v>
      </c>
      <c r="G109" s="29" t="s">
        <v>524</v>
      </c>
      <c r="H109" s="29" t="s">
        <v>525</v>
      </c>
      <c r="I109" s="29"/>
      <c r="J109" s="32" t="s">
        <v>52</v>
      </c>
      <c r="K109" s="60" t="s">
        <v>78</v>
      </c>
      <c r="L109" s="29"/>
      <c r="M109" s="3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22.5" customHeight="1">
      <c r="A110" s="26">
        <f t="shared" si="1"/>
        <v>104</v>
      </c>
      <c r="B110" s="32" t="s">
        <v>95</v>
      </c>
      <c r="C110" s="28" t="str">
        <f t="shared" si="2"/>
        <v>TC-104</v>
      </c>
      <c r="D110" s="29" t="s">
        <v>526</v>
      </c>
      <c r="E110" s="29" t="s">
        <v>522</v>
      </c>
      <c r="F110" s="29" t="s">
        <v>527</v>
      </c>
      <c r="G110" s="29" t="s">
        <v>528</v>
      </c>
      <c r="H110" s="29" t="s">
        <v>529</v>
      </c>
      <c r="I110" s="29"/>
      <c r="J110" s="32" t="s">
        <v>52</v>
      </c>
      <c r="K110" s="60" t="s">
        <v>35</v>
      </c>
      <c r="L110" s="29"/>
      <c r="M110" s="3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22.5" customHeight="1">
      <c r="A111" s="26">
        <f t="shared" si="1"/>
        <v>105</v>
      </c>
      <c r="B111" s="27" t="s">
        <v>95</v>
      </c>
      <c r="C111" s="28" t="str">
        <f t="shared" si="2"/>
        <v>TC-105</v>
      </c>
      <c r="D111" s="29" t="s">
        <v>530</v>
      </c>
      <c r="E111" s="29" t="s">
        <v>531</v>
      </c>
      <c r="F111" s="29" t="s">
        <v>532</v>
      </c>
      <c r="G111" s="29" t="s">
        <v>533</v>
      </c>
      <c r="H111" s="29" t="s">
        <v>534</v>
      </c>
      <c r="I111" s="29"/>
      <c r="J111" s="27" t="s">
        <v>21</v>
      </c>
      <c r="K111" s="30" t="s">
        <v>22</v>
      </c>
      <c r="L111" s="29" t="s">
        <v>23</v>
      </c>
      <c r="M111" s="31">
        <v>46282.0</v>
      </c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22.5" customHeight="1">
      <c r="A112" s="26">
        <f t="shared" si="1"/>
        <v>106</v>
      </c>
      <c r="B112" s="32" t="s">
        <v>95</v>
      </c>
      <c r="C112" s="28" t="str">
        <f t="shared" si="2"/>
        <v>TC-106</v>
      </c>
      <c r="D112" s="29" t="s">
        <v>535</v>
      </c>
      <c r="E112" s="29" t="s">
        <v>536</v>
      </c>
      <c r="F112" s="29" t="s">
        <v>537</v>
      </c>
      <c r="G112" s="29" t="s">
        <v>538</v>
      </c>
      <c r="H112" s="29" t="s">
        <v>539</v>
      </c>
      <c r="I112" s="29"/>
      <c r="J112" s="32" t="s">
        <v>21</v>
      </c>
      <c r="K112" s="60" t="s">
        <v>22</v>
      </c>
      <c r="L112" s="29" t="s">
        <v>23</v>
      </c>
      <c r="M112" s="31">
        <v>46286.0</v>
      </c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22.5" customHeight="1">
      <c r="A113" s="26">
        <f t="shared" si="1"/>
        <v>107</v>
      </c>
      <c r="B113" s="32" t="s">
        <v>95</v>
      </c>
      <c r="C113" s="28" t="str">
        <f t="shared" si="2"/>
        <v>TC-107</v>
      </c>
      <c r="D113" s="29" t="s">
        <v>540</v>
      </c>
      <c r="E113" s="29" t="s">
        <v>541</v>
      </c>
      <c r="F113" s="29" t="s">
        <v>542</v>
      </c>
      <c r="G113" s="29" t="s">
        <v>543</v>
      </c>
      <c r="H113" s="29" t="s">
        <v>544</v>
      </c>
      <c r="I113" s="29"/>
      <c r="J113" s="32" t="s">
        <v>21</v>
      </c>
      <c r="K113" s="60" t="s">
        <v>22</v>
      </c>
      <c r="L113" s="29" t="s">
        <v>23</v>
      </c>
      <c r="M113" s="31">
        <v>46286.0</v>
      </c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22.5" customHeight="1">
      <c r="A114" s="26">
        <f t="shared" si="1"/>
        <v>108</v>
      </c>
      <c r="B114" s="32" t="s">
        <v>95</v>
      </c>
      <c r="C114" s="28" t="str">
        <f t="shared" si="2"/>
        <v>TC-108</v>
      </c>
      <c r="D114" s="29" t="s">
        <v>545</v>
      </c>
      <c r="E114" s="29" t="s">
        <v>546</v>
      </c>
      <c r="F114" s="29" t="s">
        <v>547</v>
      </c>
      <c r="G114" s="29" t="s">
        <v>548</v>
      </c>
      <c r="H114" s="29" t="s">
        <v>549</v>
      </c>
      <c r="I114" s="29"/>
      <c r="J114" s="32" t="s">
        <v>52</v>
      </c>
      <c r="K114" s="60" t="s">
        <v>22</v>
      </c>
      <c r="L114" s="29"/>
      <c r="M114" s="3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22.5" customHeight="1">
      <c r="A115" s="26">
        <f t="shared" si="1"/>
        <v>109</v>
      </c>
      <c r="B115" s="32" t="s">
        <v>95</v>
      </c>
      <c r="C115" s="28" t="str">
        <f t="shared" si="2"/>
        <v>TC-109</v>
      </c>
      <c r="D115" s="29" t="s">
        <v>550</v>
      </c>
      <c r="E115" s="29" t="s">
        <v>551</v>
      </c>
      <c r="F115" s="29" t="s">
        <v>552</v>
      </c>
      <c r="G115" s="29"/>
      <c r="H115" s="29" t="s">
        <v>553</v>
      </c>
      <c r="I115" s="29"/>
      <c r="J115" s="32" t="s">
        <v>52</v>
      </c>
      <c r="K115" s="60" t="s">
        <v>22</v>
      </c>
      <c r="L115" s="29"/>
      <c r="M115" s="3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22.5" customHeight="1">
      <c r="A116" s="26">
        <f t="shared" si="1"/>
        <v>110</v>
      </c>
      <c r="B116" s="32" t="s">
        <v>95</v>
      </c>
      <c r="C116" s="28" t="str">
        <f t="shared" si="2"/>
        <v>TC-110</v>
      </c>
      <c r="D116" s="29" t="s">
        <v>554</v>
      </c>
      <c r="E116" s="29" t="s">
        <v>555</v>
      </c>
      <c r="F116" s="29" t="s">
        <v>556</v>
      </c>
      <c r="G116" s="29" t="s">
        <v>557</v>
      </c>
      <c r="H116" s="29" t="s">
        <v>558</v>
      </c>
      <c r="I116" s="29"/>
      <c r="J116" s="32" t="s">
        <v>21</v>
      </c>
      <c r="K116" s="60" t="s">
        <v>22</v>
      </c>
      <c r="L116" s="29" t="s">
        <v>23</v>
      </c>
      <c r="M116" s="31">
        <v>46286.0</v>
      </c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22.5" customHeight="1">
      <c r="A117" s="26">
        <f t="shared" si="1"/>
        <v>111</v>
      </c>
      <c r="B117" s="32" t="s">
        <v>95</v>
      </c>
      <c r="C117" s="28" t="str">
        <f t="shared" si="2"/>
        <v>TC-111</v>
      </c>
      <c r="D117" s="29" t="s">
        <v>559</v>
      </c>
      <c r="E117" s="29" t="s">
        <v>560</v>
      </c>
      <c r="F117" s="29" t="s">
        <v>561</v>
      </c>
      <c r="G117" s="29"/>
      <c r="H117" s="29" t="s">
        <v>562</v>
      </c>
      <c r="I117" s="29"/>
      <c r="J117" s="32" t="s">
        <v>52</v>
      </c>
      <c r="K117" s="60" t="s">
        <v>22</v>
      </c>
      <c r="L117" s="29"/>
      <c r="M117" s="3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22.5" customHeight="1">
      <c r="A118" s="26">
        <f t="shared" si="1"/>
        <v>112</v>
      </c>
      <c r="B118" s="32" t="s">
        <v>95</v>
      </c>
      <c r="C118" s="28" t="str">
        <f t="shared" si="2"/>
        <v>TC-112</v>
      </c>
      <c r="D118" s="29" t="s">
        <v>563</v>
      </c>
      <c r="E118" s="29" t="s">
        <v>564</v>
      </c>
      <c r="F118" s="29" t="s">
        <v>565</v>
      </c>
      <c r="G118" s="29"/>
      <c r="H118" s="29" t="s">
        <v>566</v>
      </c>
      <c r="I118" s="29"/>
      <c r="J118" s="32" t="s">
        <v>52</v>
      </c>
      <c r="K118" s="60" t="s">
        <v>22</v>
      </c>
      <c r="L118" s="29"/>
      <c r="M118" s="3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22.5" customHeight="1">
      <c r="A119" s="26">
        <f t="shared" si="1"/>
        <v>113</v>
      </c>
      <c r="B119" s="32" t="s">
        <v>95</v>
      </c>
      <c r="C119" s="28" t="str">
        <f t="shared" si="2"/>
        <v>TC-113</v>
      </c>
      <c r="D119" s="29" t="s">
        <v>567</v>
      </c>
      <c r="E119" s="29" t="s">
        <v>568</v>
      </c>
      <c r="F119" s="29" t="s">
        <v>569</v>
      </c>
      <c r="G119" s="29"/>
      <c r="H119" s="29" t="s">
        <v>570</v>
      </c>
      <c r="I119" s="29"/>
      <c r="J119" s="32" t="s">
        <v>52</v>
      </c>
      <c r="K119" s="60" t="s">
        <v>22</v>
      </c>
      <c r="L119" s="29"/>
      <c r="M119" s="3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22.5" customHeight="1">
      <c r="A120" s="26">
        <f t="shared" si="1"/>
        <v>114</v>
      </c>
      <c r="B120" s="32" t="s">
        <v>95</v>
      </c>
      <c r="C120" s="28" t="str">
        <f t="shared" si="2"/>
        <v>TC-114</v>
      </c>
      <c r="D120" s="29" t="s">
        <v>571</v>
      </c>
      <c r="E120" s="29" t="s">
        <v>572</v>
      </c>
      <c r="F120" s="29" t="s">
        <v>573</v>
      </c>
      <c r="G120" s="29" t="s">
        <v>574</v>
      </c>
      <c r="H120" s="29" t="s">
        <v>575</v>
      </c>
      <c r="I120" s="29"/>
      <c r="J120" s="32" t="s">
        <v>52</v>
      </c>
      <c r="K120" s="60" t="s">
        <v>22</v>
      </c>
      <c r="L120" s="29"/>
      <c r="M120" s="3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22.5" customHeight="1">
      <c r="A121" s="26">
        <f t="shared" si="1"/>
        <v>115</v>
      </c>
      <c r="B121" s="27" t="s">
        <v>101</v>
      </c>
      <c r="C121" s="28" t="str">
        <f t="shared" si="2"/>
        <v>TC-115</v>
      </c>
      <c r="D121" s="29" t="s">
        <v>576</v>
      </c>
      <c r="E121" s="29" t="s">
        <v>577</v>
      </c>
      <c r="F121" s="29" t="s">
        <v>578</v>
      </c>
      <c r="G121" s="29" t="s">
        <v>579</v>
      </c>
      <c r="H121" s="29" t="s">
        <v>580</v>
      </c>
      <c r="I121" s="29"/>
      <c r="J121" s="27" t="s">
        <v>52</v>
      </c>
      <c r="K121" s="30" t="s">
        <v>22</v>
      </c>
      <c r="L121" s="29"/>
      <c r="M121" s="3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22.5" customHeight="1">
      <c r="A122" s="26">
        <f t="shared" si="1"/>
        <v>116</v>
      </c>
      <c r="B122" s="27" t="s">
        <v>101</v>
      </c>
      <c r="C122" s="28" t="str">
        <f t="shared" si="2"/>
        <v>TC-116</v>
      </c>
      <c r="D122" s="29" t="s">
        <v>581</v>
      </c>
      <c r="E122" s="29" t="s">
        <v>582</v>
      </c>
      <c r="F122" s="29" t="s">
        <v>583</v>
      </c>
      <c r="G122" s="29" t="s">
        <v>584</v>
      </c>
      <c r="H122" s="29" t="s">
        <v>585</v>
      </c>
      <c r="I122" s="29"/>
      <c r="J122" s="27" t="s">
        <v>52</v>
      </c>
      <c r="K122" s="30" t="s">
        <v>35</v>
      </c>
      <c r="L122" s="29"/>
      <c r="M122" s="3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22.5" customHeight="1">
      <c r="A123" s="26">
        <f t="shared" si="1"/>
        <v>117</v>
      </c>
      <c r="B123" s="27" t="s">
        <v>101</v>
      </c>
      <c r="C123" s="28" t="str">
        <f t="shared" si="2"/>
        <v>TC-117</v>
      </c>
      <c r="D123" s="29" t="s">
        <v>586</v>
      </c>
      <c r="E123" s="29" t="s">
        <v>587</v>
      </c>
      <c r="F123" s="29" t="s">
        <v>588</v>
      </c>
      <c r="G123" s="29" t="s">
        <v>589</v>
      </c>
      <c r="H123" s="29" t="s">
        <v>590</v>
      </c>
      <c r="I123" s="29"/>
      <c r="J123" s="27" t="s">
        <v>52</v>
      </c>
      <c r="K123" s="30" t="s">
        <v>22</v>
      </c>
      <c r="L123" s="29"/>
      <c r="M123" s="3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22.5" customHeight="1">
      <c r="A124" s="26">
        <f t="shared" si="1"/>
        <v>118</v>
      </c>
      <c r="B124" s="27" t="s">
        <v>101</v>
      </c>
      <c r="C124" s="28" t="str">
        <f t="shared" si="2"/>
        <v>TC-118</v>
      </c>
      <c r="D124" s="29" t="s">
        <v>591</v>
      </c>
      <c r="E124" s="29" t="s">
        <v>587</v>
      </c>
      <c r="F124" s="29" t="s">
        <v>592</v>
      </c>
      <c r="G124" s="29" t="s">
        <v>593</v>
      </c>
      <c r="H124" s="29" t="s">
        <v>594</v>
      </c>
      <c r="I124" s="29"/>
      <c r="J124" s="27" t="s">
        <v>52</v>
      </c>
      <c r="K124" s="30" t="s">
        <v>22</v>
      </c>
      <c r="L124" s="29"/>
      <c r="M124" s="3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22.5" customHeight="1">
      <c r="A125" s="26">
        <f t="shared" si="1"/>
        <v>119</v>
      </c>
      <c r="B125" s="27" t="s">
        <v>101</v>
      </c>
      <c r="C125" s="28" t="str">
        <f t="shared" si="2"/>
        <v>TC-119</v>
      </c>
      <c r="D125" s="29" t="s">
        <v>595</v>
      </c>
      <c r="E125" s="29" t="s">
        <v>596</v>
      </c>
      <c r="F125" s="29" t="s">
        <v>597</v>
      </c>
      <c r="G125" s="29" t="s">
        <v>598</v>
      </c>
      <c r="H125" s="29" t="s">
        <v>599</v>
      </c>
      <c r="I125" s="29"/>
      <c r="J125" s="27" t="s">
        <v>52</v>
      </c>
      <c r="K125" s="30" t="s">
        <v>22</v>
      </c>
      <c r="L125" s="29"/>
      <c r="M125" s="3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22.5" customHeight="1">
      <c r="A126" s="26">
        <f t="shared" si="1"/>
        <v>120</v>
      </c>
      <c r="B126" s="27" t="s">
        <v>101</v>
      </c>
      <c r="C126" s="28" t="str">
        <f t="shared" si="2"/>
        <v>TC-120</v>
      </c>
      <c r="D126" s="29" t="s">
        <v>600</v>
      </c>
      <c r="E126" s="29" t="s">
        <v>601</v>
      </c>
      <c r="F126" s="29" t="s">
        <v>602</v>
      </c>
      <c r="G126" s="29" t="s">
        <v>603</v>
      </c>
      <c r="H126" s="29" t="s">
        <v>604</v>
      </c>
      <c r="I126" s="29"/>
      <c r="J126" s="27" t="s">
        <v>52</v>
      </c>
      <c r="K126" s="30" t="s">
        <v>35</v>
      </c>
      <c r="L126" s="29"/>
      <c r="M126" s="6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22.5" customHeight="1">
      <c r="A127" s="26">
        <f t="shared" si="1"/>
        <v>121</v>
      </c>
      <c r="B127" s="32" t="s">
        <v>101</v>
      </c>
      <c r="C127" s="28" t="str">
        <f t="shared" si="2"/>
        <v>TC-121</v>
      </c>
      <c r="D127" s="29" t="s">
        <v>605</v>
      </c>
      <c r="E127" s="29" t="s">
        <v>606</v>
      </c>
      <c r="F127" s="29" t="s">
        <v>607</v>
      </c>
      <c r="G127" s="29" t="s">
        <v>608</v>
      </c>
      <c r="H127" s="29" t="s">
        <v>609</v>
      </c>
      <c r="I127" s="29"/>
      <c r="J127" s="32" t="s">
        <v>52</v>
      </c>
      <c r="K127" s="60" t="s">
        <v>22</v>
      </c>
      <c r="L127" s="29"/>
      <c r="M127" s="6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22.5" customHeight="1">
      <c r="A128" s="26">
        <f t="shared" si="1"/>
        <v>122</v>
      </c>
      <c r="B128" s="32" t="s">
        <v>101</v>
      </c>
      <c r="C128" s="28" t="str">
        <f t="shared" si="2"/>
        <v>TC-122</v>
      </c>
      <c r="D128" s="29" t="s">
        <v>610</v>
      </c>
      <c r="E128" s="29" t="s">
        <v>611</v>
      </c>
      <c r="F128" s="29" t="s">
        <v>612</v>
      </c>
      <c r="G128" s="29" t="s">
        <v>613</v>
      </c>
      <c r="H128" s="29" t="s">
        <v>614</v>
      </c>
      <c r="I128" s="29"/>
      <c r="J128" s="32" t="s">
        <v>52</v>
      </c>
      <c r="K128" s="60" t="s">
        <v>22</v>
      </c>
      <c r="L128" s="29"/>
      <c r="M128" s="6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22.5" customHeight="1">
      <c r="A129" s="26">
        <f t="shared" si="1"/>
        <v>123</v>
      </c>
      <c r="B129" s="32" t="s">
        <v>101</v>
      </c>
      <c r="C129" s="28" t="str">
        <f t="shared" si="2"/>
        <v>TC-123</v>
      </c>
      <c r="D129" s="29" t="s">
        <v>615</v>
      </c>
      <c r="E129" s="29" t="s">
        <v>616</v>
      </c>
      <c r="F129" s="29" t="s">
        <v>617</v>
      </c>
      <c r="G129" s="29" t="s">
        <v>618</v>
      </c>
      <c r="H129" s="29" t="s">
        <v>619</v>
      </c>
      <c r="I129" s="29"/>
      <c r="J129" s="32" t="s">
        <v>52</v>
      </c>
      <c r="K129" s="60" t="s">
        <v>35</v>
      </c>
      <c r="L129" s="29"/>
      <c r="M129" s="6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22.5" customHeight="1">
      <c r="A130" s="26">
        <f t="shared" si="1"/>
        <v>124</v>
      </c>
      <c r="B130" s="32" t="s">
        <v>101</v>
      </c>
      <c r="C130" s="28" t="str">
        <f t="shared" si="2"/>
        <v>TC-124</v>
      </c>
      <c r="D130" s="29" t="s">
        <v>620</v>
      </c>
      <c r="E130" s="29" t="s">
        <v>621</v>
      </c>
      <c r="F130" s="29" t="s">
        <v>622</v>
      </c>
      <c r="G130" s="29"/>
      <c r="H130" s="29" t="s">
        <v>623</v>
      </c>
      <c r="I130" s="29"/>
      <c r="J130" s="32" t="s">
        <v>52</v>
      </c>
      <c r="K130" s="60" t="s">
        <v>22</v>
      </c>
      <c r="L130" s="29"/>
      <c r="M130" s="6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22.5" customHeight="1">
      <c r="A131" s="26">
        <f t="shared" si="1"/>
        <v>125</v>
      </c>
      <c r="B131" s="32" t="s">
        <v>101</v>
      </c>
      <c r="C131" s="28" t="str">
        <f t="shared" si="2"/>
        <v>TC-125</v>
      </c>
      <c r="D131" s="29" t="s">
        <v>624</v>
      </c>
      <c r="E131" s="29" t="s">
        <v>625</v>
      </c>
      <c r="F131" s="29" t="s">
        <v>626</v>
      </c>
      <c r="G131" s="29"/>
      <c r="H131" s="29" t="s">
        <v>627</v>
      </c>
      <c r="I131" s="29"/>
      <c r="J131" s="32" t="s">
        <v>52</v>
      </c>
      <c r="K131" s="60" t="s">
        <v>35</v>
      </c>
      <c r="L131" s="29"/>
      <c r="M131" s="6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22.5" customHeight="1">
      <c r="A132" s="26">
        <f t="shared" si="1"/>
        <v>126</v>
      </c>
      <c r="B132" s="32" t="s">
        <v>101</v>
      </c>
      <c r="C132" s="28" t="str">
        <f t="shared" si="2"/>
        <v>TC-126</v>
      </c>
      <c r="D132" s="29" t="s">
        <v>628</v>
      </c>
      <c r="E132" s="29" t="s">
        <v>629</v>
      </c>
      <c r="F132" s="29" t="s">
        <v>630</v>
      </c>
      <c r="G132" s="29" t="s">
        <v>631</v>
      </c>
      <c r="H132" s="29" t="s">
        <v>632</v>
      </c>
      <c r="I132" s="29"/>
      <c r="J132" s="32" t="s">
        <v>52</v>
      </c>
      <c r="K132" s="60" t="s">
        <v>22</v>
      </c>
      <c r="L132" s="29"/>
      <c r="M132" s="6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22.5" customHeight="1">
      <c r="A133" s="26">
        <f t="shared" si="1"/>
        <v>127</v>
      </c>
      <c r="B133" s="32" t="s">
        <v>101</v>
      </c>
      <c r="C133" s="28" t="str">
        <f t="shared" si="2"/>
        <v>TC-127</v>
      </c>
      <c r="D133" s="29" t="s">
        <v>633</v>
      </c>
      <c r="E133" s="29" t="s">
        <v>634</v>
      </c>
      <c r="F133" s="29" t="s">
        <v>635</v>
      </c>
      <c r="G133" s="29"/>
      <c r="H133" s="29" t="s">
        <v>636</v>
      </c>
      <c r="I133" s="29"/>
      <c r="J133" s="32" t="s">
        <v>52</v>
      </c>
      <c r="K133" s="60" t="s">
        <v>22</v>
      </c>
      <c r="L133" s="29"/>
      <c r="M133" s="6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22.5" customHeight="1">
      <c r="A134" s="26">
        <f t="shared" si="1"/>
        <v>128</v>
      </c>
      <c r="B134" s="32" t="s">
        <v>101</v>
      </c>
      <c r="C134" s="28" t="str">
        <f t="shared" si="2"/>
        <v>TC-128</v>
      </c>
      <c r="D134" s="29" t="s">
        <v>637</v>
      </c>
      <c r="E134" s="29" t="s">
        <v>638</v>
      </c>
      <c r="F134" s="29" t="s">
        <v>639</v>
      </c>
      <c r="G134" s="29"/>
      <c r="H134" s="29" t="s">
        <v>640</v>
      </c>
      <c r="I134" s="29"/>
      <c r="J134" s="32" t="s">
        <v>52</v>
      </c>
      <c r="K134" s="60" t="s">
        <v>22</v>
      </c>
      <c r="L134" s="29"/>
      <c r="M134" s="6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22.5" customHeight="1">
      <c r="A135" s="26">
        <f t="shared" si="1"/>
        <v>129</v>
      </c>
      <c r="B135" s="32" t="s">
        <v>101</v>
      </c>
      <c r="C135" s="28" t="str">
        <f t="shared" si="2"/>
        <v>TC-129</v>
      </c>
      <c r="D135" s="29" t="s">
        <v>641</v>
      </c>
      <c r="E135" s="29" t="s">
        <v>642</v>
      </c>
      <c r="F135" s="29" t="s">
        <v>643</v>
      </c>
      <c r="G135" s="29"/>
      <c r="H135" s="29" t="s">
        <v>644</v>
      </c>
      <c r="I135" s="29"/>
      <c r="J135" s="32" t="s">
        <v>52</v>
      </c>
      <c r="K135" s="60" t="s">
        <v>22</v>
      </c>
      <c r="L135" s="29"/>
      <c r="M135" s="6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22.5" customHeight="1">
      <c r="A136" s="26">
        <f t="shared" si="1"/>
        <v>130</v>
      </c>
      <c r="B136" s="32" t="s">
        <v>101</v>
      </c>
      <c r="C136" s="28" t="str">
        <f t="shared" si="2"/>
        <v>TC-130</v>
      </c>
      <c r="D136" s="29" t="s">
        <v>645</v>
      </c>
      <c r="E136" s="29" t="s">
        <v>603</v>
      </c>
      <c r="F136" s="29" t="s">
        <v>646</v>
      </c>
      <c r="G136" s="29"/>
      <c r="H136" s="29" t="s">
        <v>647</v>
      </c>
      <c r="I136" s="29"/>
      <c r="J136" s="32" t="s">
        <v>52</v>
      </c>
      <c r="K136" s="60" t="s">
        <v>22</v>
      </c>
      <c r="L136" s="29"/>
      <c r="M136" s="6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22.5" customHeight="1">
      <c r="A137" s="26">
        <f t="shared" si="1"/>
        <v>131</v>
      </c>
      <c r="B137" s="32" t="s">
        <v>101</v>
      </c>
      <c r="C137" s="28" t="str">
        <f t="shared" si="2"/>
        <v>TC-131</v>
      </c>
      <c r="D137" s="29" t="s">
        <v>648</v>
      </c>
      <c r="E137" s="29" t="s">
        <v>649</v>
      </c>
      <c r="F137" s="29" t="s">
        <v>650</v>
      </c>
      <c r="G137" s="29" t="s">
        <v>651</v>
      </c>
      <c r="H137" s="29" t="s">
        <v>652</v>
      </c>
      <c r="I137" s="29"/>
      <c r="J137" s="32" t="s">
        <v>52</v>
      </c>
      <c r="K137" s="60" t="s">
        <v>35</v>
      </c>
      <c r="L137" s="29"/>
      <c r="M137" s="6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22.5" customHeight="1">
      <c r="A138" s="26">
        <f t="shared" si="1"/>
        <v>132</v>
      </c>
      <c r="B138" s="32" t="s">
        <v>101</v>
      </c>
      <c r="C138" s="28" t="str">
        <f t="shared" si="2"/>
        <v>TC-132</v>
      </c>
      <c r="D138" s="29" t="s">
        <v>653</v>
      </c>
      <c r="E138" s="29" t="s">
        <v>654</v>
      </c>
      <c r="F138" s="29" t="s">
        <v>655</v>
      </c>
      <c r="G138" s="29" t="s">
        <v>656</v>
      </c>
      <c r="H138" s="29" t="s">
        <v>657</v>
      </c>
      <c r="I138" s="29"/>
      <c r="J138" s="32" t="s">
        <v>52</v>
      </c>
      <c r="K138" s="60" t="s">
        <v>22</v>
      </c>
      <c r="L138" s="29"/>
      <c r="M138" s="6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22.5" customHeight="1">
      <c r="A139" s="26">
        <f t="shared" si="1"/>
        <v>133</v>
      </c>
      <c r="B139" s="32" t="s">
        <v>101</v>
      </c>
      <c r="C139" s="28" t="str">
        <f t="shared" si="2"/>
        <v>TC-133</v>
      </c>
      <c r="D139" s="29" t="s">
        <v>658</v>
      </c>
      <c r="E139" s="29" t="s">
        <v>603</v>
      </c>
      <c r="F139" s="29" t="s">
        <v>659</v>
      </c>
      <c r="G139" s="29" t="s">
        <v>660</v>
      </c>
      <c r="H139" s="29" t="s">
        <v>661</v>
      </c>
      <c r="I139" s="29"/>
      <c r="J139" s="32" t="s">
        <v>52</v>
      </c>
      <c r="K139" s="60" t="s">
        <v>22</v>
      </c>
      <c r="L139" s="29"/>
      <c r="M139" s="6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22.5" customHeight="1">
      <c r="A140" s="26">
        <f t="shared" si="1"/>
        <v>134</v>
      </c>
      <c r="B140" s="32" t="s">
        <v>101</v>
      </c>
      <c r="C140" s="28" t="str">
        <f t="shared" si="2"/>
        <v>TC-134</v>
      </c>
      <c r="D140" s="29" t="s">
        <v>662</v>
      </c>
      <c r="E140" s="29" t="s">
        <v>603</v>
      </c>
      <c r="F140" s="29" t="s">
        <v>663</v>
      </c>
      <c r="G140" s="29" t="s">
        <v>664</v>
      </c>
      <c r="H140" s="29" t="s">
        <v>665</v>
      </c>
      <c r="I140" s="29"/>
      <c r="J140" s="32" t="s">
        <v>52</v>
      </c>
      <c r="K140" s="60" t="s">
        <v>22</v>
      </c>
      <c r="L140" s="29"/>
      <c r="M140" s="6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22.5" customHeight="1">
      <c r="A141" s="26">
        <f t="shared" si="1"/>
        <v>135</v>
      </c>
      <c r="B141" s="32" t="s">
        <v>101</v>
      </c>
      <c r="C141" s="28" t="str">
        <f t="shared" si="2"/>
        <v>TC-135</v>
      </c>
      <c r="D141" s="29" t="s">
        <v>666</v>
      </c>
      <c r="E141" s="29" t="s">
        <v>603</v>
      </c>
      <c r="F141" s="29" t="s">
        <v>667</v>
      </c>
      <c r="G141" s="29"/>
      <c r="H141" s="29" t="s">
        <v>668</v>
      </c>
      <c r="I141" s="29"/>
      <c r="J141" s="32" t="s">
        <v>52</v>
      </c>
      <c r="K141" s="60" t="s">
        <v>22</v>
      </c>
      <c r="L141" s="29"/>
      <c r="M141" s="6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22.5" customHeight="1">
      <c r="A142" s="26">
        <f t="shared" si="1"/>
        <v>136</v>
      </c>
      <c r="B142" s="32" t="s">
        <v>101</v>
      </c>
      <c r="C142" s="28" t="str">
        <f t="shared" si="2"/>
        <v>TC-136</v>
      </c>
      <c r="D142" s="29" t="s">
        <v>669</v>
      </c>
      <c r="E142" s="29" t="s">
        <v>670</v>
      </c>
      <c r="F142" s="29" t="s">
        <v>671</v>
      </c>
      <c r="G142" s="29"/>
      <c r="H142" s="29" t="s">
        <v>672</v>
      </c>
      <c r="I142" s="29"/>
      <c r="J142" s="32" t="s">
        <v>52</v>
      </c>
      <c r="K142" s="60" t="s">
        <v>22</v>
      </c>
      <c r="L142" s="29"/>
      <c r="M142" s="6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22.5" customHeight="1">
      <c r="A143" s="26">
        <f t="shared" si="1"/>
        <v>137</v>
      </c>
      <c r="B143" s="32" t="s">
        <v>101</v>
      </c>
      <c r="C143" s="28" t="str">
        <f t="shared" si="2"/>
        <v>TC-137</v>
      </c>
      <c r="D143" s="29" t="s">
        <v>673</v>
      </c>
      <c r="E143" s="29" t="s">
        <v>670</v>
      </c>
      <c r="F143" s="29" t="s">
        <v>674</v>
      </c>
      <c r="G143" s="29"/>
      <c r="H143" s="29" t="s">
        <v>675</v>
      </c>
      <c r="I143" s="29"/>
      <c r="J143" s="32" t="s">
        <v>52</v>
      </c>
      <c r="K143" s="60" t="s">
        <v>35</v>
      </c>
      <c r="L143" s="29"/>
      <c r="M143" s="6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22.5" customHeight="1">
      <c r="A144" s="26">
        <f t="shared" si="1"/>
        <v>138</v>
      </c>
      <c r="B144" s="27" t="s">
        <v>105</v>
      </c>
      <c r="C144" s="28" t="str">
        <f t="shared" si="2"/>
        <v>TC-138</v>
      </c>
      <c r="D144" s="29" t="s">
        <v>676</v>
      </c>
      <c r="E144" s="29" t="s">
        <v>677</v>
      </c>
      <c r="F144" s="29" t="s">
        <v>678</v>
      </c>
      <c r="G144" s="29" t="s">
        <v>679</v>
      </c>
      <c r="H144" s="29" t="s">
        <v>680</v>
      </c>
      <c r="I144" s="29"/>
      <c r="J144" s="27" t="s">
        <v>21</v>
      </c>
      <c r="K144" s="30" t="s">
        <v>22</v>
      </c>
      <c r="L144" s="29" t="s">
        <v>23</v>
      </c>
      <c r="M144" s="31">
        <v>46282.0</v>
      </c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22.5" customHeight="1">
      <c r="A145" s="26">
        <f t="shared" si="1"/>
        <v>139</v>
      </c>
      <c r="B145" s="32" t="s">
        <v>105</v>
      </c>
      <c r="C145" s="28" t="str">
        <f t="shared" si="2"/>
        <v>TC-139</v>
      </c>
      <c r="D145" s="29" t="s">
        <v>681</v>
      </c>
      <c r="E145" s="29" t="s">
        <v>682</v>
      </c>
      <c r="F145" s="29" t="s">
        <v>683</v>
      </c>
      <c r="G145" s="29" t="s">
        <v>593</v>
      </c>
      <c r="H145" s="29" t="s">
        <v>684</v>
      </c>
      <c r="I145" s="29"/>
      <c r="J145" s="32" t="s">
        <v>21</v>
      </c>
      <c r="K145" s="60" t="s">
        <v>22</v>
      </c>
      <c r="L145" s="29" t="s">
        <v>23</v>
      </c>
      <c r="M145" s="31">
        <v>46287.0</v>
      </c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22.5" customHeight="1">
      <c r="A146" s="26">
        <f t="shared" si="1"/>
        <v>140</v>
      </c>
      <c r="B146" s="32" t="s">
        <v>105</v>
      </c>
      <c r="C146" s="28" t="str">
        <f t="shared" si="2"/>
        <v>TC-140</v>
      </c>
      <c r="D146" s="29" t="s">
        <v>685</v>
      </c>
      <c r="E146" s="29" t="s">
        <v>686</v>
      </c>
      <c r="F146" s="29" t="s">
        <v>687</v>
      </c>
      <c r="G146" s="29" t="s">
        <v>593</v>
      </c>
      <c r="H146" s="29" t="s">
        <v>688</v>
      </c>
      <c r="I146" s="29"/>
      <c r="J146" s="32" t="s">
        <v>21</v>
      </c>
      <c r="K146" s="60" t="s">
        <v>22</v>
      </c>
      <c r="L146" s="29" t="s">
        <v>23</v>
      </c>
      <c r="M146" s="31">
        <v>46287.0</v>
      </c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22.5" customHeight="1">
      <c r="A147" s="26">
        <f t="shared" si="1"/>
        <v>141</v>
      </c>
      <c r="B147" s="32" t="s">
        <v>105</v>
      </c>
      <c r="C147" s="28" t="str">
        <f t="shared" si="2"/>
        <v>TC-141</v>
      </c>
      <c r="D147" s="29" t="s">
        <v>689</v>
      </c>
      <c r="E147" s="29" t="s">
        <v>690</v>
      </c>
      <c r="F147" s="29" t="s">
        <v>691</v>
      </c>
      <c r="G147" s="29" t="s">
        <v>692</v>
      </c>
      <c r="H147" s="29" t="s">
        <v>693</v>
      </c>
      <c r="I147" s="29"/>
      <c r="J147" s="32" t="s">
        <v>21</v>
      </c>
      <c r="K147" s="60" t="s">
        <v>22</v>
      </c>
      <c r="L147" s="29" t="s">
        <v>23</v>
      </c>
      <c r="M147" s="31">
        <v>46287.0</v>
      </c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22.5" customHeight="1">
      <c r="A148" s="26">
        <f t="shared" si="1"/>
        <v>142</v>
      </c>
      <c r="B148" s="32" t="s">
        <v>105</v>
      </c>
      <c r="C148" s="28" t="str">
        <f t="shared" si="2"/>
        <v>TC-142</v>
      </c>
      <c r="D148" s="29" t="s">
        <v>694</v>
      </c>
      <c r="E148" s="29" t="s">
        <v>690</v>
      </c>
      <c r="F148" s="29" t="s">
        <v>695</v>
      </c>
      <c r="G148" s="29" t="s">
        <v>696</v>
      </c>
      <c r="H148" s="29" t="s">
        <v>697</v>
      </c>
      <c r="I148" s="29"/>
      <c r="J148" s="32" t="s">
        <v>21</v>
      </c>
      <c r="K148" s="60" t="s">
        <v>35</v>
      </c>
      <c r="L148" s="29" t="s">
        <v>23</v>
      </c>
      <c r="M148" s="31">
        <v>46287.0</v>
      </c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22.5" customHeight="1">
      <c r="A149" s="26">
        <f t="shared" si="1"/>
        <v>143</v>
      </c>
      <c r="B149" s="32" t="s">
        <v>105</v>
      </c>
      <c r="C149" s="28" t="str">
        <f t="shared" si="2"/>
        <v>TC-143</v>
      </c>
      <c r="D149" s="29" t="s">
        <v>698</v>
      </c>
      <c r="E149" s="29" t="s">
        <v>686</v>
      </c>
      <c r="F149" s="29" t="s">
        <v>699</v>
      </c>
      <c r="G149" s="29" t="s">
        <v>593</v>
      </c>
      <c r="H149" s="29" t="s">
        <v>700</v>
      </c>
      <c r="I149" s="29"/>
      <c r="J149" s="32" t="s">
        <v>21</v>
      </c>
      <c r="K149" s="60" t="s">
        <v>22</v>
      </c>
      <c r="L149" s="29" t="s">
        <v>23</v>
      </c>
      <c r="M149" s="31">
        <v>46287.0</v>
      </c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22.5" customHeight="1">
      <c r="A150" s="26">
        <f t="shared" si="1"/>
        <v>144</v>
      </c>
      <c r="B150" s="32" t="s">
        <v>105</v>
      </c>
      <c r="C150" s="28" t="str">
        <f t="shared" si="2"/>
        <v>TC-144</v>
      </c>
      <c r="D150" s="29" t="s">
        <v>701</v>
      </c>
      <c r="E150" s="29" t="s">
        <v>686</v>
      </c>
      <c r="F150" s="29" t="s">
        <v>702</v>
      </c>
      <c r="G150" s="29" t="s">
        <v>593</v>
      </c>
      <c r="H150" s="29" t="s">
        <v>703</v>
      </c>
      <c r="I150" s="29"/>
      <c r="J150" s="32" t="s">
        <v>21</v>
      </c>
      <c r="K150" s="60" t="s">
        <v>35</v>
      </c>
      <c r="L150" s="29" t="s">
        <v>23</v>
      </c>
      <c r="M150" s="31">
        <v>46287.0</v>
      </c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22.5" customHeight="1">
      <c r="A151" s="26">
        <f t="shared" si="1"/>
        <v>145</v>
      </c>
      <c r="B151" s="32" t="s">
        <v>105</v>
      </c>
      <c r="C151" s="28" t="str">
        <f t="shared" si="2"/>
        <v>TC-145</v>
      </c>
      <c r="D151" s="29" t="s">
        <v>704</v>
      </c>
      <c r="E151" s="29" t="s">
        <v>705</v>
      </c>
      <c r="F151" s="29" t="s">
        <v>706</v>
      </c>
      <c r="G151" s="29" t="s">
        <v>707</v>
      </c>
      <c r="H151" s="29" t="s">
        <v>708</v>
      </c>
      <c r="I151" s="29"/>
      <c r="J151" s="32" t="s">
        <v>21</v>
      </c>
      <c r="K151" s="60" t="s">
        <v>35</v>
      </c>
      <c r="L151" s="29" t="s">
        <v>23</v>
      </c>
      <c r="M151" s="31">
        <v>46287.0</v>
      </c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22.5" customHeight="1">
      <c r="A152" s="26">
        <f t="shared" si="1"/>
        <v>146</v>
      </c>
      <c r="B152" s="32" t="s">
        <v>105</v>
      </c>
      <c r="C152" s="28" t="str">
        <f t="shared" si="2"/>
        <v>TC-146</v>
      </c>
      <c r="D152" s="29" t="s">
        <v>709</v>
      </c>
      <c r="E152" s="29" t="s">
        <v>710</v>
      </c>
      <c r="F152" s="29" t="s">
        <v>711</v>
      </c>
      <c r="G152" s="29"/>
      <c r="H152" s="29" t="s">
        <v>712</v>
      </c>
      <c r="I152" s="29"/>
      <c r="J152" s="32" t="s">
        <v>21</v>
      </c>
      <c r="K152" s="60" t="s">
        <v>22</v>
      </c>
      <c r="L152" s="29" t="s">
        <v>23</v>
      </c>
      <c r="M152" s="31">
        <v>46286.0</v>
      </c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22.5" customHeight="1">
      <c r="A153" s="26">
        <f t="shared" si="1"/>
        <v>147</v>
      </c>
      <c r="B153" s="27" t="s">
        <v>105</v>
      </c>
      <c r="C153" s="28" t="str">
        <f t="shared" si="2"/>
        <v>TC-147</v>
      </c>
      <c r="D153" s="29" t="s">
        <v>713</v>
      </c>
      <c r="E153" s="29" t="s">
        <v>714</v>
      </c>
      <c r="F153" s="29" t="s">
        <v>715</v>
      </c>
      <c r="G153" s="29" t="s">
        <v>716</v>
      </c>
      <c r="H153" s="29" t="s">
        <v>717</v>
      </c>
      <c r="I153" s="29"/>
      <c r="J153" s="27" t="s">
        <v>62</v>
      </c>
      <c r="K153" s="30" t="s">
        <v>22</v>
      </c>
      <c r="L153" s="29"/>
      <c r="M153" s="3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22.5" customHeight="1">
      <c r="A154" s="26">
        <f t="shared" si="1"/>
        <v>148</v>
      </c>
      <c r="B154" s="32" t="s">
        <v>105</v>
      </c>
      <c r="C154" s="28" t="str">
        <f t="shared" si="2"/>
        <v>TC-148</v>
      </c>
      <c r="D154" s="29" t="s">
        <v>718</v>
      </c>
      <c r="E154" s="29" t="s">
        <v>719</v>
      </c>
      <c r="F154" s="29" t="s">
        <v>720</v>
      </c>
      <c r="G154" s="29" t="s">
        <v>721</v>
      </c>
      <c r="H154" s="29" t="s">
        <v>722</v>
      </c>
      <c r="I154" s="29"/>
      <c r="J154" s="32" t="s">
        <v>52</v>
      </c>
      <c r="K154" s="60" t="s">
        <v>22</v>
      </c>
      <c r="L154" s="29"/>
      <c r="M154" s="3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22.5" customHeight="1">
      <c r="A155" s="26">
        <f t="shared" si="1"/>
        <v>149</v>
      </c>
      <c r="B155" s="27" t="s">
        <v>105</v>
      </c>
      <c r="C155" s="28" t="str">
        <f t="shared" si="2"/>
        <v>TC-149</v>
      </c>
      <c r="D155" s="29" t="s">
        <v>723</v>
      </c>
      <c r="E155" s="29" t="s">
        <v>724</v>
      </c>
      <c r="F155" s="29" t="s">
        <v>725</v>
      </c>
      <c r="G155" s="29" t="s">
        <v>726</v>
      </c>
      <c r="H155" s="29" t="s">
        <v>727</v>
      </c>
      <c r="I155" s="29"/>
      <c r="J155" s="27" t="s">
        <v>52</v>
      </c>
      <c r="K155" s="30" t="s">
        <v>22</v>
      </c>
      <c r="L155" s="29"/>
      <c r="M155" s="3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22.5" customHeight="1">
      <c r="A156" s="26">
        <f t="shared" si="1"/>
        <v>150</v>
      </c>
      <c r="B156" s="32" t="s">
        <v>105</v>
      </c>
      <c r="C156" s="28" t="str">
        <f t="shared" si="2"/>
        <v>TC-150</v>
      </c>
      <c r="D156" s="29" t="s">
        <v>728</v>
      </c>
      <c r="E156" s="29" t="s">
        <v>729</v>
      </c>
      <c r="F156" s="29" t="s">
        <v>730</v>
      </c>
      <c r="G156" s="29"/>
      <c r="H156" s="29" t="s">
        <v>731</v>
      </c>
      <c r="I156" s="29"/>
      <c r="J156" s="32" t="s">
        <v>52</v>
      </c>
      <c r="K156" s="60" t="s">
        <v>22</v>
      </c>
      <c r="L156" s="29"/>
      <c r="M156" s="3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22.5" customHeight="1">
      <c r="A157" s="26">
        <f t="shared" si="1"/>
        <v>151</v>
      </c>
      <c r="B157" s="27" t="s">
        <v>105</v>
      </c>
      <c r="C157" s="28" t="str">
        <f t="shared" si="2"/>
        <v>TC-151</v>
      </c>
      <c r="D157" s="29" t="s">
        <v>732</v>
      </c>
      <c r="E157" s="29" t="s">
        <v>733</v>
      </c>
      <c r="F157" s="29" t="s">
        <v>734</v>
      </c>
      <c r="G157" s="29" t="s">
        <v>721</v>
      </c>
      <c r="H157" s="29" t="s">
        <v>735</v>
      </c>
      <c r="I157" s="29"/>
      <c r="J157" s="27" t="s">
        <v>52</v>
      </c>
      <c r="K157" s="30" t="s">
        <v>22</v>
      </c>
      <c r="L157" s="29"/>
      <c r="M157" s="3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22.5" customHeight="1">
      <c r="A158" s="26">
        <f t="shared" si="1"/>
        <v>152</v>
      </c>
      <c r="B158" s="32" t="s">
        <v>105</v>
      </c>
      <c r="C158" s="28" t="str">
        <f t="shared" si="2"/>
        <v>TC-152</v>
      </c>
      <c r="D158" s="29" t="s">
        <v>736</v>
      </c>
      <c r="E158" s="29" t="s">
        <v>737</v>
      </c>
      <c r="F158" s="29" t="s">
        <v>738</v>
      </c>
      <c r="G158" s="29" t="s">
        <v>739</v>
      </c>
      <c r="H158" s="29" t="s">
        <v>740</v>
      </c>
      <c r="I158" s="29"/>
      <c r="J158" s="32" t="s">
        <v>52</v>
      </c>
      <c r="K158" s="60" t="s">
        <v>22</v>
      </c>
      <c r="L158" s="29"/>
      <c r="M158" s="3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22.5" customHeight="1">
      <c r="A159" s="26">
        <f t="shared" si="1"/>
        <v>153</v>
      </c>
      <c r="B159" s="32" t="s">
        <v>105</v>
      </c>
      <c r="C159" s="28" t="str">
        <f t="shared" si="2"/>
        <v>TC-153</v>
      </c>
      <c r="D159" s="29" t="s">
        <v>741</v>
      </c>
      <c r="E159" s="29" t="s">
        <v>737</v>
      </c>
      <c r="F159" s="29" t="s">
        <v>742</v>
      </c>
      <c r="G159" s="29" t="s">
        <v>743</v>
      </c>
      <c r="H159" s="29" t="s">
        <v>744</v>
      </c>
      <c r="I159" s="29"/>
      <c r="J159" s="32" t="s">
        <v>52</v>
      </c>
      <c r="K159" s="60" t="s">
        <v>22</v>
      </c>
      <c r="L159" s="29"/>
      <c r="M159" s="3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22.5" customHeight="1">
      <c r="A160" s="26">
        <f t="shared" si="1"/>
        <v>154</v>
      </c>
      <c r="B160" s="32" t="s">
        <v>105</v>
      </c>
      <c r="C160" s="28" t="str">
        <f t="shared" si="2"/>
        <v>TC-154</v>
      </c>
      <c r="D160" s="29" t="s">
        <v>745</v>
      </c>
      <c r="E160" s="29" t="s">
        <v>746</v>
      </c>
      <c r="F160" s="29" t="s">
        <v>747</v>
      </c>
      <c r="G160" s="29" t="s">
        <v>748</v>
      </c>
      <c r="H160" s="29" t="s">
        <v>749</v>
      </c>
      <c r="I160" s="29"/>
      <c r="J160" s="32" t="s">
        <v>21</v>
      </c>
      <c r="K160" s="60" t="s">
        <v>35</v>
      </c>
      <c r="L160" s="29" t="s">
        <v>23</v>
      </c>
      <c r="M160" s="31">
        <v>46287.0</v>
      </c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22.5" customHeight="1">
      <c r="A161" s="26">
        <f t="shared" si="1"/>
        <v>155</v>
      </c>
      <c r="B161" s="32" t="s">
        <v>105</v>
      </c>
      <c r="C161" s="28" t="str">
        <f t="shared" si="2"/>
        <v>TC-155</v>
      </c>
      <c r="D161" s="29" t="s">
        <v>750</v>
      </c>
      <c r="E161" s="29" t="s">
        <v>751</v>
      </c>
      <c r="F161" s="29" t="s">
        <v>752</v>
      </c>
      <c r="G161" s="29" t="s">
        <v>753</v>
      </c>
      <c r="H161" s="29" t="s">
        <v>754</v>
      </c>
      <c r="I161" s="29"/>
      <c r="J161" s="32" t="s">
        <v>21</v>
      </c>
      <c r="K161" s="60" t="s">
        <v>35</v>
      </c>
      <c r="L161" s="29" t="s">
        <v>23</v>
      </c>
      <c r="M161" s="31">
        <v>46287.0</v>
      </c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22.5" customHeight="1">
      <c r="A162" s="26">
        <f t="shared" si="1"/>
        <v>156</v>
      </c>
      <c r="B162" s="32" t="s">
        <v>105</v>
      </c>
      <c r="C162" s="28" t="str">
        <f t="shared" si="2"/>
        <v>TC-156</v>
      </c>
      <c r="D162" s="29" t="s">
        <v>755</v>
      </c>
      <c r="E162" s="29" t="s">
        <v>677</v>
      </c>
      <c r="F162" s="29" t="s">
        <v>756</v>
      </c>
      <c r="G162" s="29" t="s">
        <v>757</v>
      </c>
      <c r="H162" s="29" t="s">
        <v>758</v>
      </c>
      <c r="I162" s="29"/>
      <c r="J162" s="32" t="s">
        <v>21</v>
      </c>
      <c r="K162" s="60" t="s">
        <v>22</v>
      </c>
      <c r="L162" s="29" t="s">
        <v>23</v>
      </c>
      <c r="M162" s="31">
        <v>46287.0</v>
      </c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22.5" customHeight="1">
      <c r="A163" s="26">
        <f t="shared" si="1"/>
        <v>157</v>
      </c>
      <c r="B163" s="32" t="s">
        <v>105</v>
      </c>
      <c r="C163" s="28" t="str">
        <f t="shared" si="2"/>
        <v>TC-157</v>
      </c>
      <c r="D163" s="29" t="s">
        <v>759</v>
      </c>
      <c r="E163" s="29" t="s">
        <v>760</v>
      </c>
      <c r="F163" s="29" t="s">
        <v>761</v>
      </c>
      <c r="G163" s="29" t="s">
        <v>762</v>
      </c>
      <c r="H163" s="29" t="s">
        <v>763</v>
      </c>
      <c r="I163" s="29"/>
      <c r="J163" s="32" t="s">
        <v>21</v>
      </c>
      <c r="K163" s="60" t="s">
        <v>22</v>
      </c>
      <c r="L163" s="29" t="s">
        <v>23</v>
      </c>
      <c r="M163" s="31">
        <v>46287.0</v>
      </c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22.5" customHeight="1">
      <c r="A164" s="26">
        <f t="shared" si="1"/>
        <v>158</v>
      </c>
      <c r="B164" s="32" t="s">
        <v>105</v>
      </c>
      <c r="C164" s="28" t="str">
        <f t="shared" si="2"/>
        <v>TC-158</v>
      </c>
      <c r="D164" s="29" t="s">
        <v>764</v>
      </c>
      <c r="E164" s="29" t="s">
        <v>765</v>
      </c>
      <c r="F164" s="29" t="s">
        <v>766</v>
      </c>
      <c r="G164" s="29" t="s">
        <v>767</v>
      </c>
      <c r="H164" s="29" t="s">
        <v>768</v>
      </c>
      <c r="I164" s="29"/>
      <c r="J164" s="32" t="s">
        <v>21</v>
      </c>
      <c r="K164" s="60" t="s">
        <v>22</v>
      </c>
      <c r="L164" s="29" t="s">
        <v>23</v>
      </c>
      <c r="M164" s="31">
        <v>46287.0</v>
      </c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22.5" customHeight="1">
      <c r="A165" s="26">
        <f t="shared" si="1"/>
        <v>159</v>
      </c>
      <c r="B165" s="32" t="s">
        <v>105</v>
      </c>
      <c r="C165" s="28" t="str">
        <f t="shared" si="2"/>
        <v>TC-159</v>
      </c>
      <c r="D165" s="29" t="s">
        <v>769</v>
      </c>
      <c r="E165" s="29" t="s">
        <v>765</v>
      </c>
      <c r="F165" s="29" t="s">
        <v>770</v>
      </c>
      <c r="G165" s="29" t="s">
        <v>771</v>
      </c>
      <c r="H165" s="29" t="s">
        <v>768</v>
      </c>
      <c r="I165" s="29"/>
      <c r="J165" s="32" t="s">
        <v>21</v>
      </c>
      <c r="K165" s="60" t="s">
        <v>22</v>
      </c>
      <c r="L165" s="29" t="s">
        <v>23</v>
      </c>
      <c r="M165" s="31">
        <v>46287.0</v>
      </c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22.5" customHeight="1">
      <c r="A166" s="26">
        <f t="shared" si="1"/>
        <v>160</v>
      </c>
      <c r="B166" s="32" t="s">
        <v>105</v>
      </c>
      <c r="C166" s="28" t="str">
        <f t="shared" si="2"/>
        <v>TC-160</v>
      </c>
      <c r="D166" s="29" t="s">
        <v>772</v>
      </c>
      <c r="E166" s="29" t="s">
        <v>765</v>
      </c>
      <c r="F166" s="29" t="s">
        <v>773</v>
      </c>
      <c r="G166" s="29" t="s">
        <v>774</v>
      </c>
      <c r="H166" s="29" t="s">
        <v>775</v>
      </c>
      <c r="I166" s="29"/>
      <c r="J166" s="32" t="s">
        <v>21</v>
      </c>
      <c r="K166" s="60" t="s">
        <v>35</v>
      </c>
      <c r="L166" s="29" t="s">
        <v>23</v>
      </c>
      <c r="M166" s="31">
        <v>46287.0</v>
      </c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22.5" customHeight="1">
      <c r="A167" s="26">
        <f t="shared" si="1"/>
        <v>161</v>
      </c>
      <c r="B167" s="32" t="s">
        <v>105</v>
      </c>
      <c r="C167" s="28" t="str">
        <f t="shared" si="2"/>
        <v>TC-161</v>
      </c>
      <c r="D167" s="29" t="s">
        <v>776</v>
      </c>
      <c r="E167" s="29" t="s">
        <v>760</v>
      </c>
      <c r="F167" s="29" t="s">
        <v>777</v>
      </c>
      <c r="G167" s="29" t="s">
        <v>762</v>
      </c>
      <c r="H167" s="29" t="s">
        <v>778</v>
      </c>
      <c r="I167" s="29"/>
      <c r="J167" s="32" t="s">
        <v>21</v>
      </c>
      <c r="K167" s="60" t="s">
        <v>22</v>
      </c>
      <c r="L167" s="29" t="s">
        <v>23</v>
      </c>
      <c r="M167" s="31">
        <v>46287.0</v>
      </c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22.5" customHeight="1">
      <c r="A168" s="26">
        <f t="shared" si="1"/>
        <v>162</v>
      </c>
      <c r="B168" s="32" t="s">
        <v>105</v>
      </c>
      <c r="C168" s="28" t="str">
        <f t="shared" si="2"/>
        <v>TC-162</v>
      </c>
      <c r="D168" s="29" t="s">
        <v>779</v>
      </c>
      <c r="E168" s="29" t="s">
        <v>780</v>
      </c>
      <c r="F168" s="29" t="s">
        <v>781</v>
      </c>
      <c r="G168" s="29" t="s">
        <v>782</v>
      </c>
      <c r="H168" s="29" t="s">
        <v>783</v>
      </c>
      <c r="I168" s="29"/>
      <c r="J168" s="32" t="s">
        <v>21</v>
      </c>
      <c r="K168" s="60" t="s">
        <v>22</v>
      </c>
      <c r="L168" s="29" t="s">
        <v>23</v>
      </c>
      <c r="M168" s="31">
        <v>46287.0</v>
      </c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22.5" customHeight="1">
      <c r="A169" s="26">
        <f t="shared" si="1"/>
        <v>163</v>
      </c>
      <c r="B169" s="27" t="s">
        <v>105</v>
      </c>
      <c r="C169" s="28" t="str">
        <f t="shared" si="2"/>
        <v>TC-163</v>
      </c>
      <c r="D169" s="29" t="s">
        <v>784</v>
      </c>
      <c r="E169" s="29" t="s">
        <v>785</v>
      </c>
      <c r="F169" s="29" t="s">
        <v>786</v>
      </c>
      <c r="G169" s="29" t="s">
        <v>787</v>
      </c>
      <c r="H169" s="29" t="s">
        <v>788</v>
      </c>
      <c r="I169" s="29"/>
      <c r="J169" s="27" t="s">
        <v>52</v>
      </c>
      <c r="K169" s="30" t="s">
        <v>35</v>
      </c>
      <c r="L169" s="29"/>
      <c r="M169" s="3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22.5" customHeight="1">
      <c r="A170" s="26">
        <f t="shared" si="1"/>
        <v>164</v>
      </c>
      <c r="B170" s="32" t="s">
        <v>105</v>
      </c>
      <c r="C170" s="28" t="str">
        <f t="shared" si="2"/>
        <v>TC-164</v>
      </c>
      <c r="D170" s="29" t="s">
        <v>789</v>
      </c>
      <c r="E170" s="29" t="s">
        <v>790</v>
      </c>
      <c r="F170" s="29" t="s">
        <v>791</v>
      </c>
      <c r="G170" s="29"/>
      <c r="H170" s="29" t="s">
        <v>792</v>
      </c>
      <c r="I170" s="29"/>
      <c r="J170" s="32" t="s">
        <v>52</v>
      </c>
      <c r="K170" s="60" t="s">
        <v>35</v>
      </c>
      <c r="L170" s="29"/>
      <c r="M170" s="3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22.5" customHeight="1">
      <c r="A171" s="26">
        <f t="shared" si="1"/>
        <v>165</v>
      </c>
      <c r="B171" s="32" t="s">
        <v>105</v>
      </c>
      <c r="C171" s="28" t="str">
        <f t="shared" si="2"/>
        <v>TC-165</v>
      </c>
      <c r="D171" s="29" t="s">
        <v>793</v>
      </c>
      <c r="E171" s="29" t="s">
        <v>794</v>
      </c>
      <c r="F171" s="29" t="s">
        <v>795</v>
      </c>
      <c r="G171" s="29" t="s">
        <v>796</v>
      </c>
      <c r="H171" s="29" t="s">
        <v>797</v>
      </c>
      <c r="I171" s="29"/>
      <c r="J171" s="32" t="s">
        <v>21</v>
      </c>
      <c r="K171" s="60" t="s">
        <v>35</v>
      </c>
      <c r="L171" s="29" t="s">
        <v>23</v>
      </c>
      <c r="M171" s="31">
        <v>46286.0</v>
      </c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22.5" customHeight="1">
      <c r="A172" s="26">
        <f t="shared" si="1"/>
        <v>166</v>
      </c>
      <c r="B172" s="32" t="s">
        <v>105</v>
      </c>
      <c r="C172" s="28" t="str">
        <f t="shared" si="2"/>
        <v>TC-166</v>
      </c>
      <c r="D172" s="29" t="s">
        <v>798</v>
      </c>
      <c r="E172" s="29" t="s">
        <v>799</v>
      </c>
      <c r="F172" s="29" t="s">
        <v>800</v>
      </c>
      <c r="G172" s="29" t="s">
        <v>801</v>
      </c>
      <c r="H172" s="29" t="s">
        <v>802</v>
      </c>
      <c r="I172" s="29"/>
      <c r="J172" s="32" t="s">
        <v>52</v>
      </c>
      <c r="K172" s="60" t="s">
        <v>22</v>
      </c>
      <c r="L172" s="29"/>
      <c r="M172" s="3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22.5" customHeight="1">
      <c r="A173" s="26">
        <f t="shared" si="1"/>
        <v>167</v>
      </c>
      <c r="B173" s="32" t="s">
        <v>105</v>
      </c>
      <c r="C173" s="28" t="str">
        <f t="shared" si="2"/>
        <v>TC-167</v>
      </c>
      <c r="D173" s="29" t="s">
        <v>803</v>
      </c>
      <c r="E173" s="29" t="s">
        <v>804</v>
      </c>
      <c r="F173" s="29" t="s">
        <v>805</v>
      </c>
      <c r="G173" s="29" t="s">
        <v>806</v>
      </c>
      <c r="H173" s="29" t="s">
        <v>807</v>
      </c>
      <c r="I173" s="29"/>
      <c r="J173" s="32" t="s">
        <v>21</v>
      </c>
      <c r="K173" s="60" t="s">
        <v>22</v>
      </c>
      <c r="L173" s="29" t="s">
        <v>23</v>
      </c>
      <c r="M173" s="31">
        <v>46287.0</v>
      </c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22.5" customHeight="1">
      <c r="A174" s="26">
        <f t="shared" si="1"/>
        <v>168</v>
      </c>
      <c r="B174" s="32" t="s">
        <v>105</v>
      </c>
      <c r="C174" s="28" t="str">
        <f t="shared" si="2"/>
        <v>TC-168</v>
      </c>
      <c r="D174" s="29" t="s">
        <v>808</v>
      </c>
      <c r="E174" s="29" t="s">
        <v>809</v>
      </c>
      <c r="F174" s="29" t="s">
        <v>810</v>
      </c>
      <c r="G174" s="29"/>
      <c r="H174" s="29" t="s">
        <v>811</v>
      </c>
      <c r="I174" s="29"/>
      <c r="J174" s="32" t="s">
        <v>52</v>
      </c>
      <c r="K174" s="60" t="s">
        <v>22</v>
      </c>
      <c r="L174" s="29"/>
      <c r="M174" s="3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22.5" customHeight="1">
      <c r="A175" s="26">
        <f t="shared" si="1"/>
        <v>169</v>
      </c>
      <c r="B175" s="32" t="s">
        <v>105</v>
      </c>
      <c r="C175" s="28" t="str">
        <f t="shared" si="2"/>
        <v>TC-169</v>
      </c>
      <c r="D175" s="29" t="s">
        <v>812</v>
      </c>
      <c r="E175" s="29" t="s">
        <v>809</v>
      </c>
      <c r="F175" s="29" t="s">
        <v>813</v>
      </c>
      <c r="G175" s="29"/>
      <c r="H175" s="29" t="s">
        <v>811</v>
      </c>
      <c r="I175" s="29"/>
      <c r="J175" s="32" t="s">
        <v>52</v>
      </c>
      <c r="K175" s="60" t="s">
        <v>22</v>
      </c>
      <c r="L175" s="29"/>
      <c r="M175" s="3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22.5" customHeight="1">
      <c r="A176" s="26">
        <f t="shared" si="1"/>
        <v>170</v>
      </c>
      <c r="B176" s="32" t="s">
        <v>105</v>
      </c>
      <c r="C176" s="28" t="str">
        <f t="shared" si="2"/>
        <v>TC-170</v>
      </c>
      <c r="D176" s="29" t="s">
        <v>814</v>
      </c>
      <c r="E176" s="29" t="s">
        <v>809</v>
      </c>
      <c r="F176" s="29" t="s">
        <v>815</v>
      </c>
      <c r="G176" s="29"/>
      <c r="H176" s="29" t="s">
        <v>816</v>
      </c>
      <c r="I176" s="29"/>
      <c r="J176" s="32" t="s">
        <v>52</v>
      </c>
      <c r="K176" s="60" t="s">
        <v>22</v>
      </c>
      <c r="L176" s="29"/>
      <c r="M176" s="3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22.5" customHeight="1">
      <c r="A177" s="26">
        <f t="shared" si="1"/>
        <v>171</v>
      </c>
      <c r="B177" s="32" t="s">
        <v>105</v>
      </c>
      <c r="C177" s="28" t="str">
        <f t="shared" si="2"/>
        <v>TC-171</v>
      </c>
      <c r="D177" s="29" t="s">
        <v>817</v>
      </c>
      <c r="E177" s="29" t="s">
        <v>818</v>
      </c>
      <c r="F177" s="29" t="s">
        <v>819</v>
      </c>
      <c r="G177" s="29" t="s">
        <v>820</v>
      </c>
      <c r="H177" s="29" t="s">
        <v>821</v>
      </c>
      <c r="I177" s="29"/>
      <c r="J177" s="32" t="s">
        <v>52</v>
      </c>
      <c r="K177" s="60" t="s">
        <v>22</v>
      </c>
      <c r="L177" s="29"/>
      <c r="M177" s="3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22.5" customHeight="1">
      <c r="A178" s="26">
        <f t="shared" si="1"/>
        <v>172</v>
      </c>
      <c r="B178" s="32" t="s">
        <v>105</v>
      </c>
      <c r="C178" s="28" t="str">
        <f t="shared" si="2"/>
        <v>TC-172</v>
      </c>
      <c r="D178" s="29" t="s">
        <v>822</v>
      </c>
      <c r="E178" s="29" t="s">
        <v>823</v>
      </c>
      <c r="F178" s="29" t="s">
        <v>824</v>
      </c>
      <c r="G178" s="29" t="s">
        <v>825</v>
      </c>
      <c r="H178" s="29" t="s">
        <v>826</v>
      </c>
      <c r="I178" s="29"/>
      <c r="J178" s="32" t="s">
        <v>52</v>
      </c>
      <c r="K178" s="60" t="s">
        <v>22</v>
      </c>
      <c r="L178" s="29"/>
      <c r="M178" s="3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22.5" customHeight="1">
      <c r="A179" s="26">
        <f t="shared" si="1"/>
        <v>173</v>
      </c>
      <c r="B179" s="32" t="s">
        <v>105</v>
      </c>
      <c r="C179" s="28" t="str">
        <f t="shared" si="2"/>
        <v>TC-173</v>
      </c>
      <c r="D179" s="29" t="s">
        <v>827</v>
      </c>
      <c r="E179" s="29" t="s">
        <v>828</v>
      </c>
      <c r="F179" s="29" t="s">
        <v>829</v>
      </c>
      <c r="G179" s="29"/>
      <c r="H179" s="29" t="s">
        <v>830</v>
      </c>
      <c r="I179" s="29"/>
      <c r="J179" s="32" t="s">
        <v>52</v>
      </c>
      <c r="K179" s="60" t="s">
        <v>22</v>
      </c>
      <c r="L179" s="29"/>
      <c r="M179" s="3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22.5" customHeight="1">
      <c r="A180" s="26">
        <f t="shared" si="1"/>
        <v>174</v>
      </c>
      <c r="B180" s="32" t="s">
        <v>105</v>
      </c>
      <c r="C180" s="28" t="str">
        <f t="shared" si="2"/>
        <v>TC-174</v>
      </c>
      <c r="D180" s="29" t="s">
        <v>831</v>
      </c>
      <c r="E180" s="29" t="s">
        <v>832</v>
      </c>
      <c r="F180" s="29" t="s">
        <v>833</v>
      </c>
      <c r="G180" s="29" t="s">
        <v>834</v>
      </c>
      <c r="H180" s="29" t="s">
        <v>835</v>
      </c>
      <c r="I180" s="29"/>
      <c r="J180" s="32" t="s">
        <v>52</v>
      </c>
      <c r="K180" s="60" t="s">
        <v>22</v>
      </c>
      <c r="L180" s="29"/>
      <c r="M180" s="3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22.5" customHeight="1">
      <c r="A181" s="26">
        <f t="shared" si="1"/>
        <v>175</v>
      </c>
      <c r="B181" s="27" t="s">
        <v>111</v>
      </c>
      <c r="C181" s="28" t="str">
        <f t="shared" si="2"/>
        <v>TC-175</v>
      </c>
      <c r="D181" s="29" t="s">
        <v>836</v>
      </c>
      <c r="E181" s="29" t="s">
        <v>837</v>
      </c>
      <c r="F181" s="29" t="s">
        <v>838</v>
      </c>
      <c r="G181" s="29" t="s">
        <v>839</v>
      </c>
      <c r="H181" s="29" t="s">
        <v>840</v>
      </c>
      <c r="I181" s="29"/>
      <c r="J181" s="27" t="s">
        <v>52</v>
      </c>
      <c r="K181" s="30" t="s">
        <v>22</v>
      </c>
      <c r="L181" s="29"/>
      <c r="M181" s="3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22.5" customHeight="1">
      <c r="A182" s="26">
        <f t="shared" si="1"/>
        <v>176</v>
      </c>
      <c r="B182" s="32" t="s">
        <v>111</v>
      </c>
      <c r="C182" s="28" t="str">
        <f t="shared" si="2"/>
        <v>TC-176</v>
      </c>
      <c r="D182" s="29" t="s">
        <v>841</v>
      </c>
      <c r="E182" s="29" t="s">
        <v>842</v>
      </c>
      <c r="F182" s="29" t="s">
        <v>843</v>
      </c>
      <c r="G182" s="29" t="s">
        <v>844</v>
      </c>
      <c r="H182" s="29" t="s">
        <v>845</v>
      </c>
      <c r="I182" s="29"/>
      <c r="J182" s="32" t="s">
        <v>52</v>
      </c>
      <c r="K182" s="60" t="s">
        <v>22</v>
      </c>
      <c r="L182" s="29"/>
      <c r="M182" s="3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22.5" customHeight="1">
      <c r="A183" s="26">
        <f t="shared" si="1"/>
        <v>177</v>
      </c>
      <c r="B183" s="32" t="s">
        <v>111</v>
      </c>
      <c r="C183" s="28" t="str">
        <f t="shared" si="2"/>
        <v>TC-177</v>
      </c>
      <c r="D183" s="29" t="s">
        <v>846</v>
      </c>
      <c r="E183" s="29" t="s">
        <v>847</v>
      </c>
      <c r="F183" s="29" t="s">
        <v>848</v>
      </c>
      <c r="G183" s="29" t="s">
        <v>849</v>
      </c>
      <c r="H183" s="29" t="s">
        <v>850</v>
      </c>
      <c r="I183" s="29"/>
      <c r="J183" s="32" t="s">
        <v>52</v>
      </c>
      <c r="K183" s="60" t="s">
        <v>35</v>
      </c>
      <c r="L183" s="29"/>
      <c r="M183" s="3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22.5" customHeight="1">
      <c r="A184" s="26">
        <f t="shared" si="1"/>
        <v>178</v>
      </c>
      <c r="B184" s="27" t="s">
        <v>111</v>
      </c>
      <c r="C184" s="28" t="str">
        <f t="shared" si="2"/>
        <v>TC-178</v>
      </c>
      <c r="D184" s="29" t="s">
        <v>851</v>
      </c>
      <c r="E184" s="29" t="s">
        <v>852</v>
      </c>
      <c r="F184" s="29" t="s">
        <v>853</v>
      </c>
      <c r="G184" s="29" t="s">
        <v>854</v>
      </c>
      <c r="H184" s="29" t="s">
        <v>855</v>
      </c>
      <c r="I184" s="29"/>
      <c r="J184" s="27" t="s">
        <v>52</v>
      </c>
      <c r="K184" s="30" t="s">
        <v>35</v>
      </c>
      <c r="L184" s="29"/>
      <c r="M184" s="3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22.5" customHeight="1">
      <c r="A185" s="26">
        <f t="shared" si="1"/>
        <v>179</v>
      </c>
      <c r="B185" s="32" t="s">
        <v>111</v>
      </c>
      <c r="C185" s="28" t="str">
        <f t="shared" si="2"/>
        <v>TC-179</v>
      </c>
      <c r="D185" s="29" t="s">
        <v>856</v>
      </c>
      <c r="E185" s="29" t="s">
        <v>857</v>
      </c>
      <c r="F185" s="29" t="s">
        <v>858</v>
      </c>
      <c r="G185" s="29" t="s">
        <v>859</v>
      </c>
      <c r="H185" s="29" t="s">
        <v>860</v>
      </c>
      <c r="I185" s="29"/>
      <c r="J185" s="32" t="s">
        <v>52</v>
      </c>
      <c r="K185" s="60" t="s">
        <v>35</v>
      </c>
      <c r="L185" s="29"/>
      <c r="M185" s="3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22.5" customHeight="1">
      <c r="A186" s="26">
        <f t="shared" si="1"/>
        <v>180</v>
      </c>
      <c r="B186" s="32" t="s">
        <v>111</v>
      </c>
      <c r="C186" s="28" t="str">
        <f t="shared" si="2"/>
        <v>TC-180</v>
      </c>
      <c r="D186" s="29" t="s">
        <v>861</v>
      </c>
      <c r="E186" s="29" t="s">
        <v>862</v>
      </c>
      <c r="F186" s="29" t="s">
        <v>863</v>
      </c>
      <c r="G186" s="29" t="s">
        <v>864</v>
      </c>
      <c r="H186" s="29" t="s">
        <v>865</v>
      </c>
      <c r="I186" s="29"/>
      <c r="J186" s="32" t="s">
        <v>52</v>
      </c>
      <c r="K186" s="60" t="s">
        <v>22</v>
      </c>
      <c r="L186" s="29"/>
      <c r="M186" s="3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22.5" customHeight="1">
      <c r="A187" s="26">
        <f t="shared" si="1"/>
        <v>181</v>
      </c>
      <c r="B187" s="27" t="s">
        <v>111</v>
      </c>
      <c r="C187" s="28" t="str">
        <f t="shared" si="2"/>
        <v>TC-181</v>
      </c>
      <c r="D187" s="29" t="s">
        <v>866</v>
      </c>
      <c r="E187" s="29" t="s">
        <v>867</v>
      </c>
      <c r="F187" s="29" t="s">
        <v>868</v>
      </c>
      <c r="G187" s="29" t="s">
        <v>869</v>
      </c>
      <c r="H187" s="29" t="s">
        <v>870</v>
      </c>
      <c r="I187" s="29"/>
      <c r="J187" s="27" t="s">
        <v>52</v>
      </c>
      <c r="K187" s="30" t="s">
        <v>22</v>
      </c>
      <c r="L187" s="29"/>
      <c r="M187" s="3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22.5" customHeight="1">
      <c r="A188" s="26">
        <f t="shared" si="1"/>
        <v>182</v>
      </c>
      <c r="B188" s="32" t="s">
        <v>111</v>
      </c>
      <c r="C188" s="28" t="str">
        <f t="shared" si="2"/>
        <v>TC-182</v>
      </c>
      <c r="D188" s="29" t="s">
        <v>871</v>
      </c>
      <c r="E188" s="29" t="s">
        <v>872</v>
      </c>
      <c r="F188" s="29" t="s">
        <v>873</v>
      </c>
      <c r="G188" s="29" t="s">
        <v>874</v>
      </c>
      <c r="H188" s="29" t="s">
        <v>875</v>
      </c>
      <c r="I188" s="29"/>
      <c r="J188" s="32" t="s">
        <v>52</v>
      </c>
      <c r="K188" s="60" t="s">
        <v>22</v>
      </c>
      <c r="L188" s="29"/>
      <c r="M188" s="3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22.5" customHeight="1">
      <c r="A189" s="26">
        <f t="shared" si="1"/>
        <v>183</v>
      </c>
      <c r="B189" s="32" t="s">
        <v>111</v>
      </c>
      <c r="C189" s="28" t="str">
        <f t="shared" si="2"/>
        <v>TC-183</v>
      </c>
      <c r="D189" s="29" t="s">
        <v>876</v>
      </c>
      <c r="E189" s="29" t="s">
        <v>877</v>
      </c>
      <c r="F189" s="29" t="s">
        <v>878</v>
      </c>
      <c r="G189" s="29" t="s">
        <v>879</v>
      </c>
      <c r="H189" s="29" t="s">
        <v>880</v>
      </c>
      <c r="I189" s="29"/>
      <c r="J189" s="32" t="s">
        <v>52</v>
      </c>
      <c r="K189" s="60" t="s">
        <v>22</v>
      </c>
      <c r="L189" s="29"/>
      <c r="M189" s="3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22.5" customHeight="1">
      <c r="A190" s="26">
        <f t="shared" si="1"/>
        <v>184</v>
      </c>
      <c r="B190" s="32" t="s">
        <v>111</v>
      </c>
      <c r="C190" s="28" t="str">
        <f t="shared" si="2"/>
        <v>TC-184</v>
      </c>
      <c r="D190" s="29" t="s">
        <v>881</v>
      </c>
      <c r="E190" s="29" t="s">
        <v>882</v>
      </c>
      <c r="F190" s="29" t="s">
        <v>883</v>
      </c>
      <c r="G190" s="29" t="s">
        <v>884</v>
      </c>
      <c r="H190" s="29" t="s">
        <v>885</v>
      </c>
      <c r="I190" s="29"/>
      <c r="J190" s="32" t="s">
        <v>52</v>
      </c>
      <c r="K190" s="60" t="s">
        <v>22</v>
      </c>
      <c r="L190" s="29"/>
      <c r="M190" s="3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22.5" customHeight="1">
      <c r="A191" s="26">
        <f t="shared" si="1"/>
        <v>185</v>
      </c>
      <c r="B191" s="32" t="s">
        <v>111</v>
      </c>
      <c r="C191" s="28" t="str">
        <f t="shared" si="2"/>
        <v>TC-185</v>
      </c>
      <c r="D191" s="29" t="s">
        <v>886</v>
      </c>
      <c r="E191" s="29" t="s">
        <v>887</v>
      </c>
      <c r="F191" s="29" t="s">
        <v>888</v>
      </c>
      <c r="G191" s="29" t="s">
        <v>889</v>
      </c>
      <c r="H191" s="29" t="s">
        <v>890</v>
      </c>
      <c r="I191" s="29"/>
      <c r="J191" s="32" t="s">
        <v>52</v>
      </c>
      <c r="K191" s="60" t="s">
        <v>22</v>
      </c>
      <c r="L191" s="29"/>
      <c r="M191" s="3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22.5" customHeight="1">
      <c r="A192" s="26">
        <f t="shared" si="1"/>
        <v>186</v>
      </c>
      <c r="B192" s="32" t="s">
        <v>111</v>
      </c>
      <c r="C192" s="28" t="str">
        <f t="shared" si="2"/>
        <v>TC-186</v>
      </c>
      <c r="D192" s="29" t="s">
        <v>891</v>
      </c>
      <c r="E192" s="29" t="s">
        <v>892</v>
      </c>
      <c r="F192" s="29" t="s">
        <v>893</v>
      </c>
      <c r="G192" s="29" t="s">
        <v>894</v>
      </c>
      <c r="H192" s="29" t="s">
        <v>895</v>
      </c>
      <c r="I192" s="29"/>
      <c r="J192" s="32" t="s">
        <v>52</v>
      </c>
      <c r="K192" s="60" t="s">
        <v>22</v>
      </c>
      <c r="L192" s="29"/>
      <c r="M192" s="3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22.5" customHeight="1">
      <c r="A193" s="26">
        <f t="shared" si="1"/>
        <v>187</v>
      </c>
      <c r="B193" s="32" t="s">
        <v>111</v>
      </c>
      <c r="C193" s="28" t="str">
        <f t="shared" si="2"/>
        <v>TC-187</v>
      </c>
      <c r="D193" s="29" t="s">
        <v>896</v>
      </c>
      <c r="E193" s="29" t="s">
        <v>897</v>
      </c>
      <c r="F193" s="29" t="s">
        <v>898</v>
      </c>
      <c r="G193" s="29" t="s">
        <v>899</v>
      </c>
      <c r="H193" s="29" t="s">
        <v>900</v>
      </c>
      <c r="I193" s="29"/>
      <c r="J193" s="32" t="s">
        <v>52</v>
      </c>
      <c r="K193" s="60" t="s">
        <v>22</v>
      </c>
      <c r="L193" s="29"/>
      <c r="M193" s="3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22.5" customHeight="1">
      <c r="A194" s="26">
        <f t="shared" si="1"/>
        <v>188</v>
      </c>
      <c r="B194" s="32" t="s">
        <v>111</v>
      </c>
      <c r="C194" s="28" t="str">
        <f t="shared" si="2"/>
        <v>TC-188</v>
      </c>
      <c r="D194" s="29" t="s">
        <v>901</v>
      </c>
      <c r="E194" s="29" t="s">
        <v>902</v>
      </c>
      <c r="F194" s="29" t="s">
        <v>903</v>
      </c>
      <c r="G194" s="29" t="s">
        <v>904</v>
      </c>
      <c r="H194" s="29" t="s">
        <v>905</v>
      </c>
      <c r="I194" s="29"/>
      <c r="J194" s="32" t="s">
        <v>52</v>
      </c>
      <c r="K194" s="60" t="s">
        <v>22</v>
      </c>
      <c r="L194" s="29"/>
      <c r="M194" s="3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22.5" customHeight="1">
      <c r="A195" s="26">
        <f t="shared" si="1"/>
        <v>189</v>
      </c>
      <c r="B195" s="32" t="s">
        <v>111</v>
      </c>
      <c r="C195" s="28" t="str">
        <f t="shared" si="2"/>
        <v>TC-189</v>
      </c>
      <c r="D195" s="29" t="s">
        <v>906</v>
      </c>
      <c r="E195" s="29" t="s">
        <v>907</v>
      </c>
      <c r="F195" s="29" t="s">
        <v>908</v>
      </c>
      <c r="G195" s="29" t="s">
        <v>909</v>
      </c>
      <c r="H195" s="29" t="s">
        <v>910</v>
      </c>
      <c r="I195" s="29"/>
      <c r="J195" s="32" t="s">
        <v>52</v>
      </c>
      <c r="K195" s="60" t="s">
        <v>22</v>
      </c>
      <c r="L195" s="29"/>
      <c r="M195" s="3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22.5" customHeight="1">
      <c r="A196" s="26">
        <f t="shared" si="1"/>
        <v>190</v>
      </c>
      <c r="B196" s="32" t="s">
        <v>111</v>
      </c>
      <c r="C196" s="28" t="str">
        <f t="shared" si="2"/>
        <v>TC-190</v>
      </c>
      <c r="D196" s="29" t="s">
        <v>911</v>
      </c>
      <c r="E196" s="29" t="s">
        <v>912</v>
      </c>
      <c r="F196" s="29" t="s">
        <v>913</v>
      </c>
      <c r="G196" s="29" t="s">
        <v>914</v>
      </c>
      <c r="H196" s="29" t="s">
        <v>915</v>
      </c>
      <c r="I196" s="29"/>
      <c r="J196" s="32" t="s">
        <v>52</v>
      </c>
      <c r="K196" s="60" t="s">
        <v>22</v>
      </c>
      <c r="L196" s="29"/>
      <c r="M196" s="3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22.5" customHeight="1">
      <c r="A197" s="26">
        <f t="shared" si="1"/>
        <v>191</v>
      </c>
      <c r="B197" s="32" t="s">
        <v>111</v>
      </c>
      <c r="C197" s="28" t="str">
        <f t="shared" si="2"/>
        <v>TC-191</v>
      </c>
      <c r="D197" s="29" t="s">
        <v>916</v>
      </c>
      <c r="E197" s="29" t="s">
        <v>857</v>
      </c>
      <c r="F197" s="29" t="s">
        <v>917</v>
      </c>
      <c r="G197" s="29" t="s">
        <v>918</v>
      </c>
      <c r="H197" s="29" t="s">
        <v>919</v>
      </c>
      <c r="I197" s="29"/>
      <c r="J197" s="32" t="s">
        <v>52</v>
      </c>
      <c r="K197" s="60" t="s">
        <v>78</v>
      </c>
      <c r="L197" s="29"/>
      <c r="M197" s="3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22.5" customHeight="1">
      <c r="A198" s="26">
        <f t="shared" si="1"/>
        <v>192</v>
      </c>
      <c r="B198" s="27" t="s">
        <v>113</v>
      </c>
      <c r="C198" s="28" t="str">
        <f t="shared" si="2"/>
        <v>TC-192</v>
      </c>
      <c r="D198" s="29" t="s">
        <v>920</v>
      </c>
      <c r="E198" s="29" t="s">
        <v>921</v>
      </c>
      <c r="F198" s="29" t="s">
        <v>922</v>
      </c>
      <c r="G198" s="29" t="s">
        <v>923</v>
      </c>
      <c r="H198" s="29" t="s">
        <v>924</v>
      </c>
      <c r="I198" s="29"/>
      <c r="J198" s="27" t="s">
        <v>52</v>
      </c>
      <c r="K198" s="30" t="s">
        <v>22</v>
      </c>
      <c r="L198" s="29"/>
      <c r="M198" s="3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22.5" customHeight="1">
      <c r="A199" s="26">
        <f t="shared" si="1"/>
        <v>193</v>
      </c>
      <c r="B199" s="27" t="s">
        <v>113</v>
      </c>
      <c r="C199" s="28" t="str">
        <f t="shared" si="2"/>
        <v>TC-193</v>
      </c>
      <c r="D199" s="29" t="s">
        <v>925</v>
      </c>
      <c r="E199" s="29" t="s">
        <v>926</v>
      </c>
      <c r="F199" s="29" t="s">
        <v>927</v>
      </c>
      <c r="G199" s="29" t="s">
        <v>928</v>
      </c>
      <c r="H199" s="29" t="s">
        <v>929</v>
      </c>
      <c r="I199" s="29"/>
      <c r="J199" s="27" t="s">
        <v>52</v>
      </c>
      <c r="K199" s="30" t="s">
        <v>22</v>
      </c>
      <c r="L199" s="29"/>
      <c r="M199" s="3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22.5" customHeight="1">
      <c r="A200" s="26">
        <f t="shared" si="1"/>
        <v>194</v>
      </c>
      <c r="B200" s="27" t="s">
        <v>113</v>
      </c>
      <c r="C200" s="28" t="str">
        <f t="shared" si="2"/>
        <v>TC-194</v>
      </c>
      <c r="D200" s="29" t="s">
        <v>930</v>
      </c>
      <c r="E200" s="29" t="s">
        <v>931</v>
      </c>
      <c r="F200" s="29" t="s">
        <v>932</v>
      </c>
      <c r="G200" s="29" t="s">
        <v>933</v>
      </c>
      <c r="H200" s="29" t="s">
        <v>934</v>
      </c>
      <c r="I200" s="29"/>
      <c r="J200" s="27" t="s">
        <v>52</v>
      </c>
      <c r="K200" s="30" t="s">
        <v>22</v>
      </c>
      <c r="L200" s="29"/>
      <c r="M200" s="3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22.5" customHeight="1">
      <c r="A201" s="26">
        <f t="shared" si="1"/>
        <v>195</v>
      </c>
      <c r="B201" s="27" t="s">
        <v>113</v>
      </c>
      <c r="C201" s="28" t="str">
        <f t="shared" si="2"/>
        <v>TC-195</v>
      </c>
      <c r="D201" s="29" t="s">
        <v>935</v>
      </c>
      <c r="E201" s="29" t="s">
        <v>936</v>
      </c>
      <c r="F201" s="29" t="s">
        <v>937</v>
      </c>
      <c r="G201" s="29" t="s">
        <v>938</v>
      </c>
      <c r="H201" s="29" t="s">
        <v>939</v>
      </c>
      <c r="I201" s="29"/>
      <c r="J201" s="27" t="s">
        <v>52</v>
      </c>
      <c r="K201" s="30" t="s">
        <v>22</v>
      </c>
      <c r="L201" s="29"/>
      <c r="M201" s="3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22.5" customHeight="1">
      <c r="A202" s="26">
        <f t="shared" si="1"/>
        <v>196</v>
      </c>
      <c r="B202" s="32" t="s">
        <v>113</v>
      </c>
      <c r="C202" s="28" t="str">
        <f t="shared" si="2"/>
        <v>TC-196</v>
      </c>
      <c r="D202" s="29" t="s">
        <v>940</v>
      </c>
      <c r="E202" s="29" t="s">
        <v>941</v>
      </c>
      <c r="F202" s="29" t="s">
        <v>942</v>
      </c>
      <c r="G202" s="29" t="s">
        <v>943</v>
      </c>
      <c r="H202" s="29" t="s">
        <v>944</v>
      </c>
      <c r="I202" s="29"/>
      <c r="J202" s="32" t="s">
        <v>52</v>
      </c>
      <c r="K202" s="60" t="s">
        <v>22</v>
      </c>
      <c r="L202" s="29"/>
      <c r="M202" s="3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22.5" customHeight="1">
      <c r="A203" s="26">
        <f t="shared" si="1"/>
        <v>197</v>
      </c>
      <c r="B203" s="32" t="s">
        <v>113</v>
      </c>
      <c r="C203" s="28" t="str">
        <f t="shared" si="2"/>
        <v>TC-197</v>
      </c>
      <c r="D203" s="29" t="s">
        <v>945</v>
      </c>
      <c r="E203" s="29" t="s">
        <v>946</v>
      </c>
      <c r="F203" s="29" t="s">
        <v>947</v>
      </c>
      <c r="G203" s="29" t="s">
        <v>948</v>
      </c>
      <c r="H203" s="29" t="s">
        <v>949</v>
      </c>
      <c r="I203" s="29"/>
      <c r="J203" s="32" t="s">
        <v>52</v>
      </c>
      <c r="K203" s="60" t="s">
        <v>35</v>
      </c>
      <c r="L203" s="29"/>
      <c r="M203" s="3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22.5" customHeight="1">
      <c r="A204" s="26">
        <f t="shared" si="1"/>
        <v>198</v>
      </c>
      <c r="B204" s="32" t="s">
        <v>113</v>
      </c>
      <c r="C204" s="28" t="str">
        <f t="shared" si="2"/>
        <v>TC-198</v>
      </c>
      <c r="D204" s="29" t="s">
        <v>950</v>
      </c>
      <c r="E204" s="29" t="s">
        <v>951</v>
      </c>
      <c r="F204" s="29" t="s">
        <v>952</v>
      </c>
      <c r="G204" s="29" t="s">
        <v>953</v>
      </c>
      <c r="H204" s="29" t="s">
        <v>954</v>
      </c>
      <c r="I204" s="29"/>
      <c r="J204" s="32" t="s">
        <v>52</v>
      </c>
      <c r="K204" s="60" t="s">
        <v>35</v>
      </c>
      <c r="L204" s="29"/>
      <c r="M204" s="3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22.5" customHeight="1">
      <c r="A205" s="26">
        <f t="shared" si="1"/>
        <v>199</v>
      </c>
      <c r="B205" s="32" t="s">
        <v>113</v>
      </c>
      <c r="C205" s="28" t="str">
        <f t="shared" si="2"/>
        <v>TC-199</v>
      </c>
      <c r="D205" s="29" t="s">
        <v>955</v>
      </c>
      <c r="E205" s="29" t="s">
        <v>956</v>
      </c>
      <c r="F205" s="29" t="s">
        <v>957</v>
      </c>
      <c r="G205" s="29" t="s">
        <v>958</v>
      </c>
      <c r="H205" s="29" t="s">
        <v>959</v>
      </c>
      <c r="I205" s="29"/>
      <c r="J205" s="32" t="s">
        <v>52</v>
      </c>
      <c r="K205" s="60" t="s">
        <v>22</v>
      </c>
      <c r="L205" s="29"/>
      <c r="M205" s="3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22.5" customHeight="1">
      <c r="A206" s="26">
        <f t="shared" si="1"/>
        <v>200</v>
      </c>
      <c r="B206" s="32" t="s">
        <v>113</v>
      </c>
      <c r="C206" s="28" t="str">
        <f t="shared" si="2"/>
        <v>TC-200</v>
      </c>
      <c r="D206" s="29" t="s">
        <v>960</v>
      </c>
      <c r="E206" s="29" t="s">
        <v>961</v>
      </c>
      <c r="F206" s="29" t="s">
        <v>962</v>
      </c>
      <c r="G206" s="29" t="s">
        <v>963</v>
      </c>
      <c r="H206" s="29" t="s">
        <v>964</v>
      </c>
      <c r="I206" s="29"/>
      <c r="J206" s="32" t="s">
        <v>52</v>
      </c>
      <c r="K206" s="60" t="s">
        <v>78</v>
      </c>
      <c r="L206" s="29"/>
      <c r="M206" s="3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22.5" customHeight="1">
      <c r="A207" s="26">
        <f t="shared" si="1"/>
        <v>201</v>
      </c>
      <c r="B207" s="32" t="s">
        <v>113</v>
      </c>
      <c r="C207" s="28" t="str">
        <f t="shared" si="2"/>
        <v>TC-201</v>
      </c>
      <c r="D207" s="29" t="s">
        <v>965</v>
      </c>
      <c r="E207" s="29" t="s">
        <v>966</v>
      </c>
      <c r="F207" s="29" t="s">
        <v>967</v>
      </c>
      <c r="G207" s="29" t="s">
        <v>968</v>
      </c>
      <c r="H207" s="29" t="s">
        <v>969</v>
      </c>
      <c r="I207" s="29"/>
      <c r="J207" s="32" t="s">
        <v>52</v>
      </c>
      <c r="K207" s="60" t="s">
        <v>78</v>
      </c>
      <c r="L207" s="29"/>
      <c r="M207" s="3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22.5" customHeight="1">
      <c r="A208" s="26">
        <f t="shared" si="1"/>
        <v>202</v>
      </c>
      <c r="B208" s="32" t="s">
        <v>113</v>
      </c>
      <c r="C208" s="28" t="str">
        <f t="shared" si="2"/>
        <v>TC-202</v>
      </c>
      <c r="D208" s="29" t="s">
        <v>955</v>
      </c>
      <c r="E208" s="29" t="s">
        <v>956</v>
      </c>
      <c r="F208" s="29" t="s">
        <v>957</v>
      </c>
      <c r="G208" s="29" t="s">
        <v>958</v>
      </c>
      <c r="H208" s="29" t="s">
        <v>959</v>
      </c>
      <c r="I208" s="29"/>
      <c r="J208" s="32" t="s">
        <v>52</v>
      </c>
      <c r="K208" s="60" t="s">
        <v>22</v>
      </c>
      <c r="L208" s="29"/>
      <c r="M208" s="3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22.5" customHeight="1">
      <c r="A209" s="26">
        <f t="shared" si="1"/>
        <v>203</v>
      </c>
      <c r="B209" s="32" t="s">
        <v>113</v>
      </c>
      <c r="C209" s="28" t="str">
        <f t="shared" si="2"/>
        <v>TC-203</v>
      </c>
      <c r="D209" s="29" t="s">
        <v>970</v>
      </c>
      <c r="E209" s="29" t="s">
        <v>971</v>
      </c>
      <c r="F209" s="29" t="s">
        <v>972</v>
      </c>
      <c r="G209" s="29" t="s">
        <v>973</v>
      </c>
      <c r="H209" s="29" t="s">
        <v>974</v>
      </c>
      <c r="I209" s="29"/>
      <c r="J209" s="32" t="s">
        <v>52</v>
      </c>
      <c r="K209" s="60" t="s">
        <v>22</v>
      </c>
      <c r="L209" s="29"/>
      <c r="M209" s="3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22.5" customHeight="1">
      <c r="A210" s="26">
        <f t="shared" si="1"/>
        <v>204</v>
      </c>
      <c r="B210" s="32" t="s">
        <v>113</v>
      </c>
      <c r="C210" s="28" t="str">
        <f t="shared" si="2"/>
        <v>TC-204</v>
      </c>
      <c r="D210" s="29" t="s">
        <v>975</v>
      </c>
      <c r="E210" s="29" t="s">
        <v>976</v>
      </c>
      <c r="F210" s="29" t="s">
        <v>977</v>
      </c>
      <c r="G210" s="29" t="s">
        <v>978</v>
      </c>
      <c r="H210" s="29" t="s">
        <v>979</v>
      </c>
      <c r="I210" s="29"/>
      <c r="J210" s="32" t="s">
        <v>52</v>
      </c>
      <c r="K210" s="60" t="s">
        <v>22</v>
      </c>
      <c r="L210" s="29"/>
      <c r="M210" s="3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22.5" customHeight="1">
      <c r="A211" s="26">
        <f t="shared" si="1"/>
        <v>205</v>
      </c>
      <c r="B211" s="32" t="s">
        <v>113</v>
      </c>
      <c r="C211" s="28" t="str">
        <f t="shared" si="2"/>
        <v>TC-205</v>
      </c>
      <c r="D211" s="29" t="s">
        <v>980</v>
      </c>
      <c r="E211" s="29" t="s">
        <v>981</v>
      </c>
      <c r="F211" s="29" t="s">
        <v>982</v>
      </c>
      <c r="G211" s="29" t="s">
        <v>983</v>
      </c>
      <c r="H211" s="29" t="s">
        <v>984</v>
      </c>
      <c r="I211" s="29"/>
      <c r="J211" s="32" t="s">
        <v>52</v>
      </c>
      <c r="K211" s="60" t="s">
        <v>22</v>
      </c>
      <c r="L211" s="29"/>
      <c r="M211" s="3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22.5" customHeight="1">
      <c r="A212" s="26">
        <f t="shared" si="1"/>
        <v>206</v>
      </c>
      <c r="B212" s="32" t="s">
        <v>113</v>
      </c>
      <c r="C212" s="28" t="str">
        <f t="shared" si="2"/>
        <v>TC-206</v>
      </c>
      <c r="D212" s="29" t="s">
        <v>985</v>
      </c>
      <c r="E212" s="29" t="s">
        <v>981</v>
      </c>
      <c r="F212" s="29" t="s">
        <v>986</v>
      </c>
      <c r="G212" s="29" t="s">
        <v>987</v>
      </c>
      <c r="H212" s="29" t="s">
        <v>988</v>
      </c>
      <c r="I212" s="29"/>
      <c r="J212" s="32" t="s">
        <v>52</v>
      </c>
      <c r="K212" s="60" t="s">
        <v>22</v>
      </c>
      <c r="L212" s="29"/>
      <c r="M212" s="3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22.5" customHeight="1">
      <c r="A213" s="26">
        <f t="shared" si="1"/>
        <v>207</v>
      </c>
      <c r="B213" s="32" t="s">
        <v>113</v>
      </c>
      <c r="C213" s="28" t="str">
        <f t="shared" si="2"/>
        <v>TC-207</v>
      </c>
      <c r="D213" s="29" t="s">
        <v>989</v>
      </c>
      <c r="E213" s="29" t="s">
        <v>990</v>
      </c>
      <c r="F213" s="29" t="s">
        <v>991</v>
      </c>
      <c r="G213" s="29" t="s">
        <v>992</v>
      </c>
      <c r="H213" s="29" t="s">
        <v>993</v>
      </c>
      <c r="I213" s="29"/>
      <c r="J213" s="32" t="s">
        <v>52</v>
      </c>
      <c r="K213" s="60" t="s">
        <v>35</v>
      </c>
      <c r="L213" s="29"/>
      <c r="M213" s="3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22.5" customHeight="1">
      <c r="A214" s="26">
        <f t="shared" si="1"/>
        <v>208</v>
      </c>
      <c r="B214" s="27" t="s">
        <v>119</v>
      </c>
      <c r="C214" s="28" t="str">
        <f t="shared" si="2"/>
        <v>TC-208</v>
      </c>
      <c r="D214" s="29" t="s">
        <v>994</v>
      </c>
      <c r="E214" s="29" t="s">
        <v>995</v>
      </c>
      <c r="F214" s="29" t="s">
        <v>996</v>
      </c>
      <c r="G214" s="29" t="s">
        <v>997</v>
      </c>
      <c r="H214" s="29" t="s">
        <v>998</v>
      </c>
      <c r="I214" s="29"/>
      <c r="J214" s="27" t="s">
        <v>52</v>
      </c>
      <c r="K214" s="30" t="s">
        <v>35</v>
      </c>
      <c r="L214" s="29"/>
      <c r="M214" s="3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22.5" customHeight="1">
      <c r="A215" s="26">
        <f t="shared" si="1"/>
        <v>209</v>
      </c>
      <c r="B215" s="27" t="s">
        <v>119</v>
      </c>
      <c r="C215" s="28" t="str">
        <f t="shared" si="2"/>
        <v>TC-209</v>
      </c>
      <c r="D215" s="29" t="s">
        <v>999</v>
      </c>
      <c r="E215" s="29" t="s">
        <v>1000</v>
      </c>
      <c r="F215" s="29" t="s">
        <v>1001</v>
      </c>
      <c r="G215" s="29" t="s">
        <v>1002</v>
      </c>
      <c r="H215" s="29" t="s">
        <v>1003</v>
      </c>
      <c r="I215" s="29"/>
      <c r="J215" s="27" t="s">
        <v>52</v>
      </c>
      <c r="K215" s="30" t="s">
        <v>35</v>
      </c>
      <c r="L215" s="29"/>
      <c r="M215" s="3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22.5" customHeight="1">
      <c r="A216" s="26">
        <f t="shared" si="1"/>
        <v>210</v>
      </c>
      <c r="B216" s="32" t="s">
        <v>119</v>
      </c>
      <c r="C216" s="28" t="str">
        <f t="shared" si="2"/>
        <v>TC-210</v>
      </c>
      <c r="D216" s="29" t="s">
        <v>1004</v>
      </c>
      <c r="E216" s="29" t="s">
        <v>1005</v>
      </c>
      <c r="F216" s="29" t="s">
        <v>1006</v>
      </c>
      <c r="G216" s="29" t="s">
        <v>1007</v>
      </c>
      <c r="H216" s="29" t="s">
        <v>1008</v>
      </c>
      <c r="I216" s="29"/>
      <c r="J216" s="32" t="s">
        <v>52</v>
      </c>
      <c r="K216" s="60" t="s">
        <v>22</v>
      </c>
      <c r="L216" s="29"/>
      <c r="M216" s="3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22.5" customHeight="1">
      <c r="A217" s="26">
        <f t="shared" si="1"/>
        <v>211</v>
      </c>
      <c r="B217" s="32" t="s">
        <v>119</v>
      </c>
      <c r="C217" s="28" t="str">
        <f t="shared" si="2"/>
        <v>TC-211</v>
      </c>
      <c r="D217" s="29" t="s">
        <v>1009</v>
      </c>
      <c r="E217" s="29" t="s">
        <v>1010</v>
      </c>
      <c r="F217" s="29" t="s">
        <v>1011</v>
      </c>
      <c r="G217" s="29" t="s">
        <v>1012</v>
      </c>
      <c r="H217" s="29" t="s">
        <v>1013</v>
      </c>
      <c r="I217" s="29"/>
      <c r="J217" s="32" t="s">
        <v>52</v>
      </c>
      <c r="K217" s="60" t="s">
        <v>22</v>
      </c>
      <c r="L217" s="29"/>
      <c r="M217" s="3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22.5" customHeight="1">
      <c r="A218" s="26">
        <f t="shared" si="1"/>
        <v>212</v>
      </c>
      <c r="B218" s="32" t="s">
        <v>119</v>
      </c>
      <c r="C218" s="28" t="str">
        <f t="shared" si="2"/>
        <v>TC-212</v>
      </c>
      <c r="D218" s="29" t="s">
        <v>1014</v>
      </c>
      <c r="E218" s="29" t="s">
        <v>1015</v>
      </c>
      <c r="F218" s="29" t="s">
        <v>1016</v>
      </c>
      <c r="G218" s="29" t="s">
        <v>1017</v>
      </c>
      <c r="H218" s="29" t="s">
        <v>1018</v>
      </c>
      <c r="I218" s="29"/>
      <c r="J218" s="32" t="s">
        <v>52</v>
      </c>
      <c r="K218" s="60" t="s">
        <v>35</v>
      </c>
      <c r="L218" s="29"/>
      <c r="M218" s="3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22.5" customHeight="1">
      <c r="A219" s="26">
        <f t="shared" si="1"/>
        <v>213</v>
      </c>
      <c r="B219" s="32" t="s">
        <v>119</v>
      </c>
      <c r="C219" s="28" t="str">
        <f t="shared" si="2"/>
        <v>TC-213</v>
      </c>
      <c r="D219" s="29" t="s">
        <v>1019</v>
      </c>
      <c r="E219" s="29" t="s">
        <v>1020</v>
      </c>
      <c r="F219" s="29" t="s">
        <v>1021</v>
      </c>
      <c r="G219" s="29" t="s">
        <v>1022</v>
      </c>
      <c r="H219" s="29" t="s">
        <v>1023</v>
      </c>
      <c r="I219" s="29"/>
      <c r="J219" s="32" t="s">
        <v>52</v>
      </c>
      <c r="K219" s="60" t="s">
        <v>22</v>
      </c>
      <c r="L219" s="29"/>
      <c r="M219" s="3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22.5" customHeight="1">
      <c r="A220" s="26">
        <f t="shared" si="1"/>
        <v>214</v>
      </c>
      <c r="B220" s="32" t="s">
        <v>119</v>
      </c>
      <c r="C220" s="28" t="str">
        <f t="shared" si="2"/>
        <v>TC-214</v>
      </c>
      <c r="D220" s="29" t="s">
        <v>1024</v>
      </c>
      <c r="E220" s="29" t="s">
        <v>1025</v>
      </c>
      <c r="F220" s="29" t="s">
        <v>1026</v>
      </c>
      <c r="G220" s="29" t="s">
        <v>1027</v>
      </c>
      <c r="H220" s="29" t="s">
        <v>1028</v>
      </c>
      <c r="I220" s="29"/>
      <c r="J220" s="32" t="s">
        <v>52</v>
      </c>
      <c r="K220" s="60" t="s">
        <v>35</v>
      </c>
      <c r="L220" s="29"/>
      <c r="M220" s="3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22.5" customHeight="1">
      <c r="A221" s="26">
        <f t="shared" si="1"/>
        <v>215</v>
      </c>
      <c r="B221" s="32" t="s">
        <v>119</v>
      </c>
      <c r="C221" s="28" t="str">
        <f t="shared" si="2"/>
        <v>TC-215</v>
      </c>
      <c r="D221" s="29" t="s">
        <v>1029</v>
      </c>
      <c r="E221" s="29" t="s">
        <v>1030</v>
      </c>
      <c r="F221" s="29" t="s">
        <v>1031</v>
      </c>
      <c r="G221" s="29" t="s">
        <v>1032</v>
      </c>
      <c r="H221" s="29" t="s">
        <v>1033</v>
      </c>
      <c r="I221" s="29"/>
      <c r="J221" s="32" t="s">
        <v>52</v>
      </c>
      <c r="K221" s="60" t="s">
        <v>22</v>
      </c>
      <c r="L221" s="29"/>
      <c r="M221" s="3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22.5" customHeight="1">
      <c r="A222" s="26">
        <f t="shared" si="1"/>
        <v>216</v>
      </c>
      <c r="B222" s="32" t="s">
        <v>119</v>
      </c>
      <c r="C222" s="28" t="str">
        <f t="shared" si="2"/>
        <v>TC-216</v>
      </c>
      <c r="D222" s="29" t="s">
        <v>1034</v>
      </c>
      <c r="E222" s="29" t="s">
        <v>1035</v>
      </c>
      <c r="F222" s="29" t="s">
        <v>1036</v>
      </c>
      <c r="G222" s="29" t="s">
        <v>1037</v>
      </c>
      <c r="H222" s="29" t="s">
        <v>1038</v>
      </c>
      <c r="I222" s="29"/>
      <c r="J222" s="32" t="s">
        <v>52</v>
      </c>
      <c r="K222" s="60" t="s">
        <v>35</v>
      </c>
      <c r="L222" s="29"/>
      <c r="M222" s="3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22.5" customHeight="1">
      <c r="A223" s="26">
        <f t="shared" si="1"/>
        <v>217</v>
      </c>
      <c r="B223" s="32" t="s">
        <v>119</v>
      </c>
      <c r="C223" s="28" t="str">
        <f t="shared" si="2"/>
        <v>TC-217</v>
      </c>
      <c r="D223" s="29" t="s">
        <v>1039</v>
      </c>
      <c r="E223" s="29" t="s">
        <v>1040</v>
      </c>
      <c r="F223" s="29" t="s">
        <v>1041</v>
      </c>
      <c r="G223" s="29" t="s">
        <v>1042</v>
      </c>
      <c r="H223" s="29" t="s">
        <v>1043</v>
      </c>
      <c r="I223" s="29"/>
      <c r="J223" s="32" t="s">
        <v>52</v>
      </c>
      <c r="K223" s="60" t="s">
        <v>35</v>
      </c>
      <c r="L223" s="29"/>
      <c r="M223" s="3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22.5" customHeight="1">
      <c r="A224" s="26">
        <f t="shared" si="1"/>
        <v>218</v>
      </c>
      <c r="B224" s="32" t="s">
        <v>119</v>
      </c>
      <c r="C224" s="28" t="str">
        <f t="shared" si="2"/>
        <v>TC-218</v>
      </c>
      <c r="D224" s="29" t="s">
        <v>1044</v>
      </c>
      <c r="E224" s="29" t="s">
        <v>1045</v>
      </c>
      <c r="F224" s="29" t="s">
        <v>1046</v>
      </c>
      <c r="G224" s="29" t="s">
        <v>1047</v>
      </c>
      <c r="H224" s="29" t="s">
        <v>1048</v>
      </c>
      <c r="I224" s="29"/>
      <c r="J224" s="32" t="s">
        <v>52</v>
      </c>
      <c r="K224" s="60" t="s">
        <v>35</v>
      </c>
      <c r="L224" s="29"/>
      <c r="M224" s="3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22.5" customHeight="1">
      <c r="A225" s="26">
        <f t="shared" si="1"/>
        <v>219</v>
      </c>
      <c r="B225" s="32" t="s">
        <v>119</v>
      </c>
      <c r="C225" s="28" t="str">
        <f t="shared" si="2"/>
        <v>TC-219</v>
      </c>
      <c r="D225" s="29" t="s">
        <v>1049</v>
      </c>
      <c r="E225" s="29" t="s">
        <v>1050</v>
      </c>
      <c r="F225" s="29" t="s">
        <v>1051</v>
      </c>
      <c r="G225" s="29" t="s">
        <v>1052</v>
      </c>
      <c r="H225" s="29" t="s">
        <v>1053</v>
      </c>
      <c r="I225" s="29"/>
      <c r="J225" s="32" t="s">
        <v>52</v>
      </c>
      <c r="K225" s="60" t="s">
        <v>78</v>
      </c>
      <c r="L225" s="29"/>
      <c r="M225" s="3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22.5" customHeight="1">
      <c r="A226" s="26">
        <f t="shared" si="1"/>
        <v>220</v>
      </c>
      <c r="B226" s="32" t="s">
        <v>119</v>
      </c>
      <c r="C226" s="28" t="str">
        <f t="shared" si="2"/>
        <v>TC-220</v>
      </c>
      <c r="D226" s="29" t="s">
        <v>1054</v>
      </c>
      <c r="E226" s="29" t="s">
        <v>1055</v>
      </c>
      <c r="F226" s="29" t="s">
        <v>1056</v>
      </c>
      <c r="G226" s="29" t="s">
        <v>1057</v>
      </c>
      <c r="H226" s="29" t="s">
        <v>1058</v>
      </c>
      <c r="I226" s="29"/>
      <c r="J226" s="32" t="s">
        <v>52</v>
      </c>
      <c r="K226" s="60" t="s">
        <v>35</v>
      </c>
      <c r="L226" s="29"/>
      <c r="M226" s="3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22.5" customHeight="1">
      <c r="A227" s="26">
        <f t="shared" si="1"/>
        <v>221</v>
      </c>
      <c r="B227" s="32" t="s">
        <v>119</v>
      </c>
      <c r="C227" s="28" t="str">
        <f t="shared" si="2"/>
        <v>TC-221</v>
      </c>
      <c r="D227" s="29" t="s">
        <v>1059</v>
      </c>
      <c r="E227" s="29" t="s">
        <v>1060</v>
      </c>
      <c r="F227" s="29" t="s">
        <v>1061</v>
      </c>
      <c r="G227" s="29" t="s">
        <v>1062</v>
      </c>
      <c r="H227" s="29" t="s">
        <v>1063</v>
      </c>
      <c r="I227" s="29"/>
      <c r="J227" s="32" t="s">
        <v>52</v>
      </c>
      <c r="K227" s="60" t="s">
        <v>35</v>
      </c>
      <c r="L227" s="29"/>
      <c r="M227" s="3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22.5" customHeight="1">
      <c r="A228" s="26">
        <f t="shared" si="1"/>
        <v>222</v>
      </c>
      <c r="B228" s="32" t="s">
        <v>119</v>
      </c>
      <c r="C228" s="28" t="str">
        <f t="shared" si="2"/>
        <v>TC-222</v>
      </c>
      <c r="D228" s="29" t="s">
        <v>1064</v>
      </c>
      <c r="E228" s="29" t="s">
        <v>1065</v>
      </c>
      <c r="F228" s="29" t="s">
        <v>1066</v>
      </c>
      <c r="G228" s="29" t="s">
        <v>1067</v>
      </c>
      <c r="H228" s="29" t="s">
        <v>1068</v>
      </c>
      <c r="I228" s="29"/>
      <c r="J228" s="32" t="s">
        <v>52</v>
      </c>
      <c r="K228" s="60" t="s">
        <v>22</v>
      </c>
      <c r="L228" s="29"/>
      <c r="M228" s="3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22.5" customHeight="1">
      <c r="A229" s="26">
        <f t="shared" si="1"/>
        <v>223</v>
      </c>
      <c r="B229" s="32" t="s">
        <v>119</v>
      </c>
      <c r="C229" s="28" t="str">
        <f t="shared" si="2"/>
        <v>TC-223</v>
      </c>
      <c r="D229" s="29" t="s">
        <v>1069</v>
      </c>
      <c r="E229" s="29" t="s">
        <v>1070</v>
      </c>
      <c r="F229" s="29" t="s">
        <v>1071</v>
      </c>
      <c r="G229" s="29" t="s">
        <v>1072</v>
      </c>
      <c r="H229" s="29" t="s">
        <v>1073</v>
      </c>
      <c r="I229" s="29"/>
      <c r="J229" s="32" t="s">
        <v>52</v>
      </c>
      <c r="K229" s="60" t="s">
        <v>22</v>
      </c>
      <c r="L229" s="29"/>
      <c r="M229" s="3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22.5" customHeight="1">
      <c r="A230" s="26">
        <f t="shared" si="1"/>
        <v>224</v>
      </c>
      <c r="B230" s="32" t="s">
        <v>119</v>
      </c>
      <c r="C230" s="28" t="str">
        <f t="shared" si="2"/>
        <v>TC-224</v>
      </c>
      <c r="D230" s="29" t="s">
        <v>1074</v>
      </c>
      <c r="E230" s="29" t="s">
        <v>1075</v>
      </c>
      <c r="F230" s="29" t="s">
        <v>1076</v>
      </c>
      <c r="G230" s="29" t="s">
        <v>1077</v>
      </c>
      <c r="H230" s="29" t="s">
        <v>1078</v>
      </c>
      <c r="I230" s="29"/>
      <c r="J230" s="32" t="s">
        <v>52</v>
      </c>
      <c r="K230" s="60" t="s">
        <v>22</v>
      </c>
      <c r="L230" s="29"/>
      <c r="M230" s="3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22.5" customHeight="1">
      <c r="A231" s="26">
        <f t="shared" si="1"/>
        <v>225</v>
      </c>
      <c r="B231" s="32" t="s">
        <v>119</v>
      </c>
      <c r="C231" s="28" t="str">
        <f t="shared" si="2"/>
        <v>TC-225</v>
      </c>
      <c r="D231" s="29" t="s">
        <v>1079</v>
      </c>
      <c r="E231" s="29" t="s">
        <v>1080</v>
      </c>
      <c r="F231" s="29" t="s">
        <v>1081</v>
      </c>
      <c r="G231" s="29" t="s">
        <v>1082</v>
      </c>
      <c r="H231" s="29" t="s">
        <v>1083</v>
      </c>
      <c r="I231" s="29"/>
      <c r="J231" s="32" t="s">
        <v>52</v>
      </c>
      <c r="K231" s="60" t="s">
        <v>35</v>
      </c>
      <c r="L231" s="29"/>
      <c r="M231" s="3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22.5" customHeight="1">
      <c r="A232" s="26">
        <f t="shared" si="1"/>
        <v>226</v>
      </c>
      <c r="B232" s="32" t="s">
        <v>119</v>
      </c>
      <c r="C232" s="28" t="str">
        <f t="shared" si="2"/>
        <v>TC-226</v>
      </c>
      <c r="D232" s="29" t="s">
        <v>1084</v>
      </c>
      <c r="E232" s="29" t="s">
        <v>1085</v>
      </c>
      <c r="F232" s="29" t="s">
        <v>1086</v>
      </c>
      <c r="G232" s="29" t="s">
        <v>1087</v>
      </c>
      <c r="H232" s="29" t="s">
        <v>1088</v>
      </c>
      <c r="I232" s="29"/>
      <c r="J232" s="32" t="s">
        <v>52</v>
      </c>
      <c r="K232" s="60" t="s">
        <v>22</v>
      </c>
      <c r="L232" s="29"/>
      <c r="M232" s="3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22.5" customHeight="1">
      <c r="A233" s="26">
        <f t="shared" si="1"/>
        <v>227</v>
      </c>
      <c r="B233" s="32" t="s">
        <v>119</v>
      </c>
      <c r="C233" s="28" t="str">
        <f t="shared" si="2"/>
        <v>TC-227</v>
      </c>
      <c r="D233" s="29" t="s">
        <v>1089</v>
      </c>
      <c r="E233" s="29" t="s">
        <v>1090</v>
      </c>
      <c r="F233" s="29" t="s">
        <v>1091</v>
      </c>
      <c r="G233" s="29" t="s">
        <v>1092</v>
      </c>
      <c r="H233" s="29" t="s">
        <v>1093</v>
      </c>
      <c r="I233" s="29"/>
      <c r="J233" s="32" t="s">
        <v>52</v>
      </c>
      <c r="K233" s="60" t="s">
        <v>22</v>
      </c>
      <c r="L233" s="29"/>
      <c r="M233" s="3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22.5" customHeight="1">
      <c r="A234" s="26">
        <f t="shared" si="1"/>
        <v>228</v>
      </c>
      <c r="B234" s="32" t="s">
        <v>119</v>
      </c>
      <c r="C234" s="28" t="str">
        <f t="shared" si="2"/>
        <v>TC-228</v>
      </c>
      <c r="D234" s="29" t="s">
        <v>1094</v>
      </c>
      <c r="E234" s="29" t="s">
        <v>1095</v>
      </c>
      <c r="F234" s="29" t="s">
        <v>1096</v>
      </c>
      <c r="G234" s="29" t="s">
        <v>1097</v>
      </c>
      <c r="H234" s="29" t="s">
        <v>1098</v>
      </c>
      <c r="I234" s="29"/>
      <c r="J234" s="32" t="s">
        <v>52</v>
      </c>
      <c r="K234" s="60" t="s">
        <v>22</v>
      </c>
      <c r="L234" s="29"/>
      <c r="M234" s="3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22.5" customHeight="1">
      <c r="A235" s="26">
        <f t="shared" si="1"/>
        <v>229</v>
      </c>
      <c r="B235" s="32" t="s">
        <v>119</v>
      </c>
      <c r="C235" s="28" t="str">
        <f t="shared" si="2"/>
        <v>TC-229</v>
      </c>
      <c r="D235" s="29" t="s">
        <v>1099</v>
      </c>
      <c r="E235" s="29" t="s">
        <v>1100</v>
      </c>
      <c r="F235" s="29" t="s">
        <v>1101</v>
      </c>
      <c r="G235" s="29" t="s">
        <v>1102</v>
      </c>
      <c r="H235" s="29" t="s">
        <v>1103</v>
      </c>
      <c r="I235" s="29"/>
      <c r="J235" s="32" t="s">
        <v>52</v>
      </c>
      <c r="K235" s="60" t="s">
        <v>22</v>
      </c>
      <c r="L235" s="29"/>
      <c r="M235" s="3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22.5" customHeight="1">
      <c r="A236" s="26">
        <f t="shared" si="1"/>
        <v>230</v>
      </c>
      <c r="B236" s="32" t="s">
        <v>126</v>
      </c>
      <c r="C236" s="28" t="str">
        <f t="shared" si="2"/>
        <v>TC-230</v>
      </c>
      <c r="D236" s="29" t="s">
        <v>1104</v>
      </c>
      <c r="E236" s="29" t="s">
        <v>1105</v>
      </c>
      <c r="F236" s="29" t="s">
        <v>1106</v>
      </c>
      <c r="G236" s="29" t="s">
        <v>1107</v>
      </c>
      <c r="H236" s="29" t="s">
        <v>1108</v>
      </c>
      <c r="I236" s="29"/>
      <c r="J236" s="32" t="s">
        <v>52</v>
      </c>
      <c r="K236" s="60" t="s">
        <v>22</v>
      </c>
      <c r="L236" s="29"/>
      <c r="M236" s="3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22.5" customHeight="1">
      <c r="A237" s="26">
        <f t="shared" si="1"/>
        <v>231</v>
      </c>
      <c r="B237" s="27" t="s">
        <v>126</v>
      </c>
      <c r="C237" s="28" t="str">
        <f t="shared" si="2"/>
        <v>TC-231</v>
      </c>
      <c r="D237" s="29" t="s">
        <v>1109</v>
      </c>
      <c r="E237" s="29" t="s">
        <v>1110</v>
      </c>
      <c r="F237" s="29" t="s">
        <v>1111</v>
      </c>
      <c r="G237" s="29" t="s">
        <v>1112</v>
      </c>
      <c r="H237" s="29" t="s">
        <v>1113</v>
      </c>
      <c r="I237" s="29"/>
      <c r="J237" s="27" t="s">
        <v>52</v>
      </c>
      <c r="K237" s="30" t="s">
        <v>22</v>
      </c>
      <c r="L237" s="29"/>
      <c r="M237" s="3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22.5" customHeight="1">
      <c r="A238" s="26">
        <f t="shared" si="1"/>
        <v>232</v>
      </c>
      <c r="B238" s="32" t="s">
        <v>126</v>
      </c>
      <c r="C238" s="28" t="str">
        <f t="shared" si="2"/>
        <v>TC-232</v>
      </c>
      <c r="D238" s="29" t="s">
        <v>1114</v>
      </c>
      <c r="E238" s="29" t="s">
        <v>1115</v>
      </c>
      <c r="F238" s="29" t="s">
        <v>1116</v>
      </c>
      <c r="G238" s="29"/>
      <c r="H238" s="29" t="s">
        <v>1117</v>
      </c>
      <c r="I238" s="29"/>
      <c r="J238" s="32" t="s">
        <v>52</v>
      </c>
      <c r="K238" s="60" t="s">
        <v>22</v>
      </c>
      <c r="L238" s="29"/>
      <c r="M238" s="3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22.5" customHeight="1">
      <c r="A239" s="26">
        <f t="shared" si="1"/>
        <v>233</v>
      </c>
      <c r="B239" s="32" t="s">
        <v>126</v>
      </c>
      <c r="C239" s="28" t="str">
        <f t="shared" si="2"/>
        <v>TC-233</v>
      </c>
      <c r="D239" s="29" t="s">
        <v>1118</v>
      </c>
      <c r="E239" s="29" t="s">
        <v>1119</v>
      </c>
      <c r="F239" s="29" t="s">
        <v>1120</v>
      </c>
      <c r="G239" s="29"/>
      <c r="H239" s="29" t="s">
        <v>1121</v>
      </c>
      <c r="I239" s="29"/>
      <c r="J239" s="32" t="s">
        <v>52</v>
      </c>
      <c r="K239" s="60" t="s">
        <v>22</v>
      </c>
      <c r="L239" s="29"/>
      <c r="M239" s="3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22.5" customHeight="1">
      <c r="A240" s="26">
        <f t="shared" si="1"/>
        <v>234</v>
      </c>
      <c r="B240" s="32" t="s">
        <v>126</v>
      </c>
      <c r="C240" s="28" t="str">
        <f t="shared" si="2"/>
        <v>TC-234</v>
      </c>
      <c r="D240" s="29" t="s">
        <v>1122</v>
      </c>
      <c r="E240" s="29" t="s">
        <v>1123</v>
      </c>
      <c r="F240" s="29" t="s">
        <v>1124</v>
      </c>
      <c r="G240" s="29" t="s">
        <v>1125</v>
      </c>
      <c r="H240" s="29" t="s">
        <v>1126</v>
      </c>
      <c r="I240" s="29"/>
      <c r="J240" s="32" t="s">
        <v>52</v>
      </c>
      <c r="K240" s="60" t="s">
        <v>22</v>
      </c>
      <c r="L240" s="29"/>
      <c r="M240" s="3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22.5" customHeight="1">
      <c r="A241" s="26">
        <f t="shared" si="1"/>
        <v>235</v>
      </c>
      <c r="B241" s="32" t="s">
        <v>126</v>
      </c>
      <c r="C241" s="28" t="str">
        <f t="shared" si="2"/>
        <v>TC-235</v>
      </c>
      <c r="D241" s="29" t="s">
        <v>1127</v>
      </c>
      <c r="E241" s="29" t="s">
        <v>1128</v>
      </c>
      <c r="F241" s="29" t="s">
        <v>1129</v>
      </c>
      <c r="G241" s="29"/>
      <c r="H241" s="29" t="s">
        <v>1130</v>
      </c>
      <c r="I241" s="29"/>
      <c r="J241" s="32" t="s">
        <v>52</v>
      </c>
      <c r="K241" s="60" t="s">
        <v>22</v>
      </c>
      <c r="L241" s="29"/>
      <c r="M241" s="3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22.5" customHeight="1">
      <c r="A242" s="26">
        <f t="shared" si="1"/>
        <v>236</v>
      </c>
      <c r="B242" s="32" t="s">
        <v>126</v>
      </c>
      <c r="C242" s="28" t="str">
        <f t="shared" si="2"/>
        <v>TC-236</v>
      </c>
      <c r="D242" s="29" t="s">
        <v>1131</v>
      </c>
      <c r="E242" s="29" t="s">
        <v>1132</v>
      </c>
      <c r="F242" s="29" t="s">
        <v>1133</v>
      </c>
      <c r="G242" s="29" t="s">
        <v>1134</v>
      </c>
      <c r="H242" s="29" t="s">
        <v>1135</v>
      </c>
      <c r="I242" s="29"/>
      <c r="J242" s="32" t="s">
        <v>52</v>
      </c>
      <c r="K242" s="60" t="s">
        <v>22</v>
      </c>
      <c r="L242" s="29"/>
      <c r="M242" s="3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22.5" customHeight="1">
      <c r="A243" s="26">
        <f t="shared" si="1"/>
        <v>237</v>
      </c>
      <c r="B243" s="32" t="s">
        <v>126</v>
      </c>
      <c r="C243" s="28" t="str">
        <f t="shared" si="2"/>
        <v>TC-237</v>
      </c>
      <c r="D243" s="29" t="s">
        <v>1136</v>
      </c>
      <c r="E243" s="29" t="s">
        <v>1137</v>
      </c>
      <c r="F243" s="29" t="s">
        <v>1138</v>
      </c>
      <c r="G243" s="29"/>
      <c r="H243" s="29" t="s">
        <v>1139</v>
      </c>
      <c r="I243" s="29"/>
      <c r="J243" s="32" t="s">
        <v>52</v>
      </c>
      <c r="K243" s="60" t="s">
        <v>22</v>
      </c>
      <c r="L243" s="29"/>
      <c r="M243" s="3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22.5" customHeight="1">
      <c r="A244" s="26">
        <f t="shared" si="1"/>
        <v>238</v>
      </c>
      <c r="B244" s="32" t="s">
        <v>126</v>
      </c>
      <c r="C244" s="28" t="str">
        <f t="shared" si="2"/>
        <v>TC-238</v>
      </c>
      <c r="D244" s="29" t="s">
        <v>1140</v>
      </c>
      <c r="E244" s="29" t="s">
        <v>1141</v>
      </c>
      <c r="F244" s="29" t="s">
        <v>1142</v>
      </c>
      <c r="G244" s="29" t="s">
        <v>1143</v>
      </c>
      <c r="H244" s="29" t="s">
        <v>1144</v>
      </c>
      <c r="I244" s="29"/>
      <c r="J244" s="32" t="s">
        <v>52</v>
      </c>
      <c r="K244" s="60" t="s">
        <v>22</v>
      </c>
      <c r="L244" s="29"/>
      <c r="M244" s="3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22.5" customHeight="1">
      <c r="A245" s="26">
        <f t="shared" si="1"/>
        <v>239</v>
      </c>
      <c r="B245" s="32" t="s">
        <v>126</v>
      </c>
      <c r="C245" s="28" t="str">
        <f t="shared" si="2"/>
        <v>TC-239</v>
      </c>
      <c r="D245" s="29" t="s">
        <v>1145</v>
      </c>
      <c r="E245" s="29" t="s">
        <v>1146</v>
      </c>
      <c r="F245" s="29" t="s">
        <v>1147</v>
      </c>
      <c r="G245" s="29" t="s">
        <v>1148</v>
      </c>
      <c r="H245" s="29" t="s">
        <v>1149</v>
      </c>
      <c r="I245" s="29"/>
      <c r="J245" s="32" t="s">
        <v>52</v>
      </c>
      <c r="K245" s="60" t="s">
        <v>22</v>
      </c>
      <c r="L245" s="29"/>
      <c r="M245" s="3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22.5" customHeight="1">
      <c r="A246" s="26">
        <f t="shared" si="1"/>
        <v>240</v>
      </c>
      <c r="B246" s="32" t="s">
        <v>126</v>
      </c>
      <c r="C246" s="28" t="str">
        <f t="shared" si="2"/>
        <v>TC-240</v>
      </c>
      <c r="D246" s="29" t="s">
        <v>1150</v>
      </c>
      <c r="E246" s="29" t="s">
        <v>1151</v>
      </c>
      <c r="F246" s="29" t="s">
        <v>1152</v>
      </c>
      <c r="G246" s="29" t="s">
        <v>1153</v>
      </c>
      <c r="H246" s="29" t="s">
        <v>1154</v>
      </c>
      <c r="I246" s="29"/>
      <c r="J246" s="32" t="s">
        <v>52</v>
      </c>
      <c r="K246" s="60" t="s">
        <v>22</v>
      </c>
      <c r="L246" s="29"/>
      <c r="M246" s="3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22.5" customHeight="1">
      <c r="A247" s="26">
        <f t="shared" si="1"/>
        <v>241</v>
      </c>
      <c r="B247" s="32" t="s">
        <v>126</v>
      </c>
      <c r="C247" s="28" t="str">
        <f t="shared" si="2"/>
        <v>TC-241</v>
      </c>
      <c r="D247" s="29" t="s">
        <v>1155</v>
      </c>
      <c r="E247" s="29" t="s">
        <v>1156</v>
      </c>
      <c r="F247" s="29" t="s">
        <v>1157</v>
      </c>
      <c r="G247" s="29" t="s">
        <v>1158</v>
      </c>
      <c r="H247" s="29" t="s">
        <v>1159</v>
      </c>
      <c r="I247" s="29"/>
      <c r="J247" s="32" t="s">
        <v>52</v>
      </c>
      <c r="K247" s="60" t="s">
        <v>22</v>
      </c>
      <c r="L247" s="29"/>
      <c r="M247" s="3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22.5" customHeight="1">
      <c r="A248" s="26">
        <f t="shared" si="1"/>
        <v>242</v>
      </c>
      <c r="B248" s="32" t="s">
        <v>126</v>
      </c>
      <c r="C248" s="28" t="str">
        <f t="shared" si="2"/>
        <v>TC-242</v>
      </c>
      <c r="D248" s="29" t="s">
        <v>1160</v>
      </c>
      <c r="E248" s="29" t="s">
        <v>1161</v>
      </c>
      <c r="F248" s="29" t="s">
        <v>1162</v>
      </c>
      <c r="G248" s="29" t="s">
        <v>1163</v>
      </c>
      <c r="H248" s="29" t="s">
        <v>1164</v>
      </c>
      <c r="I248" s="29"/>
      <c r="J248" s="32" t="s">
        <v>21</v>
      </c>
      <c r="K248" s="60" t="s">
        <v>22</v>
      </c>
      <c r="L248" s="29" t="s">
        <v>23</v>
      </c>
      <c r="M248" s="31">
        <v>46287.0</v>
      </c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22.5" customHeight="1">
      <c r="A249" s="26">
        <f t="shared" si="1"/>
        <v>243</v>
      </c>
      <c r="B249" s="32" t="s">
        <v>126</v>
      </c>
      <c r="C249" s="28" t="str">
        <f t="shared" si="2"/>
        <v>TC-243</v>
      </c>
      <c r="D249" s="29" t="s">
        <v>1165</v>
      </c>
      <c r="E249" s="29" t="s">
        <v>1166</v>
      </c>
      <c r="F249" s="29" t="s">
        <v>1167</v>
      </c>
      <c r="G249" s="29" t="s">
        <v>1168</v>
      </c>
      <c r="H249" s="29" t="s">
        <v>1169</v>
      </c>
      <c r="I249" s="29"/>
      <c r="J249" s="32" t="s">
        <v>21</v>
      </c>
      <c r="K249" s="60" t="s">
        <v>22</v>
      </c>
      <c r="L249" s="29" t="s">
        <v>23</v>
      </c>
      <c r="M249" s="31">
        <v>46287.0</v>
      </c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22.5" customHeight="1">
      <c r="A250" s="26">
        <f t="shared" si="1"/>
        <v>244</v>
      </c>
      <c r="B250" s="32" t="s">
        <v>126</v>
      </c>
      <c r="C250" s="28" t="str">
        <f t="shared" si="2"/>
        <v>TC-244</v>
      </c>
      <c r="D250" s="29" t="s">
        <v>1170</v>
      </c>
      <c r="E250" s="29" t="s">
        <v>1171</v>
      </c>
      <c r="F250" s="29" t="s">
        <v>1172</v>
      </c>
      <c r="G250" s="29" t="s">
        <v>1173</v>
      </c>
      <c r="H250" s="29" t="s">
        <v>1174</v>
      </c>
      <c r="I250" s="29"/>
      <c r="J250" s="32" t="s">
        <v>21</v>
      </c>
      <c r="K250" s="60" t="s">
        <v>22</v>
      </c>
      <c r="L250" s="29" t="s">
        <v>23</v>
      </c>
      <c r="M250" s="31">
        <v>46287.0</v>
      </c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22.5" customHeight="1">
      <c r="A251" s="26">
        <f t="shared" si="1"/>
        <v>245</v>
      </c>
      <c r="B251" s="32" t="s">
        <v>126</v>
      </c>
      <c r="C251" s="28" t="str">
        <f t="shared" si="2"/>
        <v>TC-245</v>
      </c>
      <c r="D251" s="29" t="s">
        <v>1175</v>
      </c>
      <c r="E251" s="29" t="s">
        <v>1176</v>
      </c>
      <c r="F251" s="29" t="s">
        <v>1177</v>
      </c>
      <c r="G251" s="29" t="s">
        <v>1178</v>
      </c>
      <c r="H251" s="29" t="s">
        <v>1179</v>
      </c>
      <c r="I251" s="29"/>
      <c r="J251" s="32" t="s">
        <v>21</v>
      </c>
      <c r="K251" s="60" t="s">
        <v>22</v>
      </c>
      <c r="L251" s="29" t="s">
        <v>23</v>
      </c>
      <c r="M251" s="31">
        <v>46288.0</v>
      </c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22.5" customHeight="1">
      <c r="A252" s="26">
        <f t="shared" si="1"/>
        <v>246</v>
      </c>
      <c r="B252" s="32" t="s">
        <v>126</v>
      </c>
      <c r="C252" s="28" t="str">
        <f t="shared" si="2"/>
        <v>TC-246</v>
      </c>
      <c r="D252" s="29" t="s">
        <v>1180</v>
      </c>
      <c r="E252" s="29" t="s">
        <v>1181</v>
      </c>
      <c r="F252" s="29" t="s">
        <v>1182</v>
      </c>
      <c r="G252" s="29" t="s">
        <v>1183</v>
      </c>
      <c r="H252" s="29" t="s">
        <v>1184</v>
      </c>
      <c r="I252" s="29"/>
      <c r="J252" s="32" t="s">
        <v>21</v>
      </c>
      <c r="K252" s="60" t="s">
        <v>22</v>
      </c>
      <c r="L252" s="29" t="s">
        <v>23</v>
      </c>
      <c r="M252" s="31">
        <v>46288.0</v>
      </c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22.5" customHeight="1">
      <c r="A253" s="26">
        <f t="shared" si="1"/>
        <v>247</v>
      </c>
      <c r="B253" s="32" t="s">
        <v>126</v>
      </c>
      <c r="C253" s="28" t="str">
        <f t="shared" si="2"/>
        <v>TC-247</v>
      </c>
      <c r="D253" s="29" t="s">
        <v>1185</v>
      </c>
      <c r="E253" s="29" t="s">
        <v>1176</v>
      </c>
      <c r="F253" s="29" t="s">
        <v>1186</v>
      </c>
      <c r="G253" s="29" t="s">
        <v>1187</v>
      </c>
      <c r="H253" s="29" t="s">
        <v>1188</v>
      </c>
      <c r="I253" s="29"/>
      <c r="J253" s="32" t="s">
        <v>21</v>
      </c>
      <c r="K253" s="60" t="s">
        <v>35</v>
      </c>
      <c r="L253" s="29" t="s">
        <v>23</v>
      </c>
      <c r="M253" s="31">
        <v>46288.0</v>
      </c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22.5" customHeight="1">
      <c r="A254" s="26">
        <f t="shared" si="1"/>
        <v>248</v>
      </c>
      <c r="B254" s="32" t="s">
        <v>126</v>
      </c>
      <c r="C254" s="28" t="str">
        <f t="shared" si="2"/>
        <v>TC-248</v>
      </c>
      <c r="D254" s="29" t="s">
        <v>1189</v>
      </c>
      <c r="E254" s="29" t="s">
        <v>1176</v>
      </c>
      <c r="F254" s="29" t="s">
        <v>1190</v>
      </c>
      <c r="G254" s="29" t="s">
        <v>1191</v>
      </c>
      <c r="H254" s="29" t="s">
        <v>1192</v>
      </c>
      <c r="I254" s="29"/>
      <c r="J254" s="32" t="s">
        <v>21</v>
      </c>
      <c r="K254" s="60" t="s">
        <v>35</v>
      </c>
      <c r="L254" s="29" t="s">
        <v>23</v>
      </c>
      <c r="M254" s="31">
        <v>46288.0</v>
      </c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22.5" customHeight="1">
      <c r="A255" s="26">
        <f t="shared" si="1"/>
        <v>249</v>
      </c>
      <c r="B255" s="32" t="s">
        <v>126</v>
      </c>
      <c r="C255" s="28" t="str">
        <f t="shared" si="2"/>
        <v>TC-249</v>
      </c>
      <c r="D255" s="29" t="s">
        <v>1193</v>
      </c>
      <c r="E255" s="29" t="s">
        <v>1176</v>
      </c>
      <c r="F255" s="29" t="s">
        <v>1194</v>
      </c>
      <c r="G255" s="29" t="s">
        <v>1195</v>
      </c>
      <c r="H255" s="29" t="s">
        <v>1196</v>
      </c>
      <c r="I255" s="29"/>
      <c r="J255" s="32" t="s">
        <v>21</v>
      </c>
      <c r="K255" s="60" t="s">
        <v>35</v>
      </c>
      <c r="L255" s="29" t="s">
        <v>23</v>
      </c>
      <c r="M255" s="31">
        <v>46288.0</v>
      </c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22.5" customHeight="1">
      <c r="A256" s="26">
        <f t="shared" si="1"/>
        <v>250</v>
      </c>
      <c r="B256" s="32" t="s">
        <v>126</v>
      </c>
      <c r="C256" s="28" t="str">
        <f t="shared" si="2"/>
        <v>TC-250</v>
      </c>
      <c r="D256" s="29" t="s">
        <v>1197</v>
      </c>
      <c r="E256" s="29" t="s">
        <v>1176</v>
      </c>
      <c r="F256" s="29" t="s">
        <v>1198</v>
      </c>
      <c r="G256" s="29" t="s">
        <v>1199</v>
      </c>
      <c r="H256" s="29" t="s">
        <v>1200</v>
      </c>
      <c r="I256" s="29"/>
      <c r="J256" s="32" t="s">
        <v>21</v>
      </c>
      <c r="K256" s="60" t="s">
        <v>35</v>
      </c>
      <c r="L256" s="29" t="s">
        <v>23</v>
      </c>
      <c r="M256" s="31">
        <v>46288.0</v>
      </c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22.5" customHeight="1">
      <c r="A257" s="26">
        <f t="shared" si="1"/>
        <v>251</v>
      </c>
      <c r="B257" s="32" t="s">
        <v>126</v>
      </c>
      <c r="C257" s="28" t="str">
        <f t="shared" si="2"/>
        <v>TC-251</v>
      </c>
      <c r="D257" s="29" t="s">
        <v>1201</v>
      </c>
      <c r="E257" s="29" t="s">
        <v>1176</v>
      </c>
      <c r="F257" s="29" t="s">
        <v>1202</v>
      </c>
      <c r="G257" s="29" t="s">
        <v>1203</v>
      </c>
      <c r="H257" s="29" t="s">
        <v>1204</v>
      </c>
      <c r="I257" s="29"/>
      <c r="J257" s="32" t="s">
        <v>21</v>
      </c>
      <c r="K257" s="60" t="s">
        <v>22</v>
      </c>
      <c r="L257" s="29" t="s">
        <v>23</v>
      </c>
      <c r="M257" s="31">
        <v>46288.0</v>
      </c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22.5" customHeight="1">
      <c r="A258" s="26">
        <f t="shared" si="1"/>
        <v>252</v>
      </c>
      <c r="B258" s="32" t="s">
        <v>126</v>
      </c>
      <c r="C258" s="28" t="str">
        <f t="shared" si="2"/>
        <v>TC-252</v>
      </c>
      <c r="D258" s="29" t="s">
        <v>1205</v>
      </c>
      <c r="E258" s="29" t="s">
        <v>1206</v>
      </c>
      <c r="F258" s="29" t="s">
        <v>1207</v>
      </c>
      <c r="G258" s="29" t="s">
        <v>1208</v>
      </c>
      <c r="H258" s="29" t="s">
        <v>1209</v>
      </c>
      <c r="I258" s="29"/>
      <c r="J258" s="32" t="s">
        <v>21</v>
      </c>
      <c r="K258" s="60" t="s">
        <v>78</v>
      </c>
      <c r="L258" s="29" t="s">
        <v>23</v>
      </c>
      <c r="M258" s="31">
        <v>46288.0</v>
      </c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22.5" customHeight="1">
      <c r="A259" s="26">
        <f t="shared" si="1"/>
        <v>253</v>
      </c>
      <c r="B259" s="32" t="s">
        <v>126</v>
      </c>
      <c r="C259" s="28" t="str">
        <f t="shared" si="2"/>
        <v>TC-253</v>
      </c>
      <c r="D259" s="29" t="s">
        <v>1210</v>
      </c>
      <c r="E259" s="29" t="s">
        <v>1211</v>
      </c>
      <c r="F259" s="29" t="s">
        <v>1212</v>
      </c>
      <c r="G259" s="29" t="s">
        <v>1213</v>
      </c>
      <c r="H259" s="29" t="s">
        <v>1214</v>
      </c>
      <c r="I259" s="29"/>
      <c r="J259" s="32" t="s">
        <v>21</v>
      </c>
      <c r="K259" s="60" t="s">
        <v>35</v>
      </c>
      <c r="L259" s="29" t="s">
        <v>23</v>
      </c>
      <c r="M259" s="31">
        <v>46288.0</v>
      </c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22.5" customHeight="1">
      <c r="A260" s="26">
        <f t="shared" si="1"/>
        <v>254</v>
      </c>
      <c r="B260" s="32" t="s">
        <v>126</v>
      </c>
      <c r="C260" s="28" t="str">
        <f t="shared" si="2"/>
        <v>TC-254</v>
      </c>
      <c r="D260" s="29" t="s">
        <v>1215</v>
      </c>
      <c r="E260" s="29" t="s">
        <v>1216</v>
      </c>
      <c r="F260" s="29" t="s">
        <v>1217</v>
      </c>
      <c r="G260" s="29" t="s">
        <v>1218</v>
      </c>
      <c r="H260" s="29" t="s">
        <v>1219</v>
      </c>
      <c r="I260" s="29"/>
      <c r="J260" s="32" t="s">
        <v>21</v>
      </c>
      <c r="K260" s="60" t="s">
        <v>35</v>
      </c>
      <c r="L260" s="29" t="s">
        <v>23</v>
      </c>
      <c r="M260" s="31">
        <v>46288.0</v>
      </c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22.5" customHeight="1">
      <c r="A261" s="26">
        <f t="shared" si="1"/>
        <v>255</v>
      </c>
      <c r="B261" s="32" t="s">
        <v>126</v>
      </c>
      <c r="C261" s="28" t="str">
        <f t="shared" si="2"/>
        <v>TC-255</v>
      </c>
      <c r="D261" s="29" t="s">
        <v>1220</v>
      </c>
      <c r="E261" s="29" t="s">
        <v>1176</v>
      </c>
      <c r="F261" s="29" t="s">
        <v>1221</v>
      </c>
      <c r="G261" s="29" t="s">
        <v>1222</v>
      </c>
      <c r="H261" s="29" t="s">
        <v>1223</v>
      </c>
      <c r="I261" s="29"/>
      <c r="J261" s="32" t="s">
        <v>21</v>
      </c>
      <c r="K261" s="60" t="s">
        <v>78</v>
      </c>
      <c r="L261" s="29" t="s">
        <v>23</v>
      </c>
      <c r="M261" s="31">
        <v>46288.0</v>
      </c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22.5" customHeight="1">
      <c r="A262" s="26">
        <f t="shared" si="1"/>
        <v>256</v>
      </c>
      <c r="B262" s="32" t="s">
        <v>126</v>
      </c>
      <c r="C262" s="28" t="str">
        <f t="shared" si="2"/>
        <v>TC-256</v>
      </c>
      <c r="D262" s="29" t="s">
        <v>1224</v>
      </c>
      <c r="E262" s="29" t="s">
        <v>1225</v>
      </c>
      <c r="F262" s="29" t="s">
        <v>1226</v>
      </c>
      <c r="G262" s="29" t="s">
        <v>1227</v>
      </c>
      <c r="H262" s="29" t="s">
        <v>1228</v>
      </c>
      <c r="I262" s="29"/>
      <c r="J262" s="32" t="s">
        <v>21</v>
      </c>
      <c r="K262" s="60" t="s">
        <v>22</v>
      </c>
      <c r="L262" s="29" t="s">
        <v>23</v>
      </c>
      <c r="M262" s="31">
        <v>46288.0</v>
      </c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22.5" customHeight="1">
      <c r="A263" s="26">
        <f t="shared" si="1"/>
        <v>257</v>
      </c>
      <c r="B263" s="32" t="s">
        <v>126</v>
      </c>
      <c r="C263" s="28" t="str">
        <f t="shared" si="2"/>
        <v>TC-257</v>
      </c>
      <c r="D263" s="29" t="s">
        <v>1229</v>
      </c>
      <c r="E263" s="29" t="s">
        <v>1230</v>
      </c>
      <c r="F263" s="29" t="s">
        <v>1231</v>
      </c>
      <c r="G263" s="29" t="s">
        <v>1232</v>
      </c>
      <c r="H263" s="29" t="s">
        <v>1233</v>
      </c>
      <c r="I263" s="29"/>
      <c r="J263" s="32" t="s">
        <v>21</v>
      </c>
      <c r="K263" s="60" t="s">
        <v>22</v>
      </c>
      <c r="L263" s="29" t="s">
        <v>23</v>
      </c>
      <c r="M263" s="31">
        <v>46288.0</v>
      </c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22.5" customHeight="1">
      <c r="A264" s="26">
        <f t="shared" si="1"/>
        <v>258</v>
      </c>
      <c r="B264" s="32" t="s">
        <v>126</v>
      </c>
      <c r="C264" s="28" t="str">
        <f t="shared" si="2"/>
        <v>TC-258</v>
      </c>
      <c r="D264" s="29" t="s">
        <v>1234</v>
      </c>
      <c r="E264" s="29" t="s">
        <v>1235</v>
      </c>
      <c r="F264" s="29" t="s">
        <v>1236</v>
      </c>
      <c r="G264" s="29" t="s">
        <v>1237</v>
      </c>
      <c r="H264" s="29" t="s">
        <v>1238</v>
      </c>
      <c r="I264" s="29"/>
      <c r="J264" s="32" t="s">
        <v>21</v>
      </c>
      <c r="K264" s="60" t="s">
        <v>22</v>
      </c>
      <c r="L264" s="29" t="s">
        <v>23</v>
      </c>
      <c r="M264" s="31">
        <v>46288.0</v>
      </c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22.5" customHeight="1">
      <c r="A265" s="26">
        <f t="shared" si="1"/>
        <v>259</v>
      </c>
      <c r="B265" s="32" t="s">
        <v>126</v>
      </c>
      <c r="C265" s="28" t="str">
        <f t="shared" si="2"/>
        <v>TC-259</v>
      </c>
      <c r="D265" s="29" t="s">
        <v>1239</v>
      </c>
      <c r="E265" s="29" t="s">
        <v>1240</v>
      </c>
      <c r="F265" s="29" t="s">
        <v>1241</v>
      </c>
      <c r="G265" s="29" t="s">
        <v>1242</v>
      </c>
      <c r="H265" s="29" t="s">
        <v>1243</v>
      </c>
      <c r="I265" s="29"/>
      <c r="J265" s="32" t="s">
        <v>52</v>
      </c>
      <c r="K265" s="60" t="s">
        <v>22</v>
      </c>
      <c r="L265" s="29"/>
      <c r="M265" s="3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22.5" customHeight="1">
      <c r="A266" s="26">
        <f t="shared" si="1"/>
        <v>260</v>
      </c>
      <c r="B266" s="32" t="s">
        <v>126</v>
      </c>
      <c r="C266" s="28" t="str">
        <f t="shared" si="2"/>
        <v>TC-260</v>
      </c>
      <c r="D266" s="29" t="s">
        <v>1244</v>
      </c>
      <c r="E266" s="29" t="s">
        <v>1245</v>
      </c>
      <c r="F266" s="29" t="s">
        <v>1246</v>
      </c>
      <c r="G266" s="29" t="s">
        <v>1247</v>
      </c>
      <c r="H266" s="29" t="s">
        <v>1248</v>
      </c>
      <c r="I266" s="29"/>
      <c r="J266" s="32" t="s">
        <v>52</v>
      </c>
      <c r="K266" s="60" t="s">
        <v>35</v>
      </c>
      <c r="L266" s="29"/>
      <c r="M266" s="3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22.5" customHeight="1">
      <c r="A267" s="26">
        <f t="shared" si="1"/>
        <v>261</v>
      </c>
      <c r="B267" s="32" t="s">
        <v>126</v>
      </c>
      <c r="C267" s="28" t="str">
        <f t="shared" si="2"/>
        <v>TC-261</v>
      </c>
      <c r="D267" s="29" t="s">
        <v>1249</v>
      </c>
      <c r="E267" s="29" t="s">
        <v>1250</v>
      </c>
      <c r="F267" s="29" t="s">
        <v>1251</v>
      </c>
      <c r="G267" s="29"/>
      <c r="H267" s="29" t="s">
        <v>1252</v>
      </c>
      <c r="I267" s="29"/>
      <c r="J267" s="32" t="s">
        <v>52</v>
      </c>
      <c r="K267" s="60" t="s">
        <v>22</v>
      </c>
      <c r="L267" s="29"/>
      <c r="M267" s="3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22.5" customHeight="1">
      <c r="A268" s="26">
        <f t="shared" si="1"/>
        <v>262</v>
      </c>
      <c r="B268" s="32" t="s">
        <v>126</v>
      </c>
      <c r="C268" s="28" t="str">
        <f t="shared" si="2"/>
        <v>TC-262</v>
      </c>
      <c r="D268" s="29" t="s">
        <v>1253</v>
      </c>
      <c r="E268" s="29" t="s">
        <v>1254</v>
      </c>
      <c r="F268" s="29" t="s">
        <v>1255</v>
      </c>
      <c r="G268" s="29" t="s">
        <v>1256</v>
      </c>
      <c r="H268" s="29" t="s">
        <v>1257</v>
      </c>
      <c r="I268" s="29"/>
      <c r="J268" s="32" t="s">
        <v>52</v>
      </c>
      <c r="K268" s="60" t="s">
        <v>22</v>
      </c>
      <c r="L268" s="29"/>
      <c r="M268" s="3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22.5" customHeight="1">
      <c r="A269" s="26">
        <f t="shared" si="1"/>
        <v>263</v>
      </c>
      <c r="B269" s="32" t="s">
        <v>126</v>
      </c>
      <c r="C269" s="28" t="str">
        <f t="shared" si="2"/>
        <v>TC-263</v>
      </c>
      <c r="D269" s="29" t="s">
        <v>1258</v>
      </c>
      <c r="E269" s="29" t="s">
        <v>1259</v>
      </c>
      <c r="F269" s="29" t="s">
        <v>1260</v>
      </c>
      <c r="G269" s="29" t="s">
        <v>1261</v>
      </c>
      <c r="H269" s="29" t="s">
        <v>1262</v>
      </c>
      <c r="I269" s="29"/>
      <c r="J269" s="32" t="s">
        <v>52</v>
      </c>
      <c r="K269" s="60" t="s">
        <v>22</v>
      </c>
      <c r="L269" s="29"/>
      <c r="M269" s="3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22.5" customHeight="1">
      <c r="A270" s="26">
        <f t="shared" si="1"/>
        <v>264</v>
      </c>
      <c r="B270" s="32" t="s">
        <v>126</v>
      </c>
      <c r="C270" s="28" t="str">
        <f t="shared" si="2"/>
        <v>TC-264</v>
      </c>
      <c r="D270" s="29" t="s">
        <v>1263</v>
      </c>
      <c r="E270" s="29" t="s">
        <v>1235</v>
      </c>
      <c r="F270" s="29" t="s">
        <v>1264</v>
      </c>
      <c r="G270" s="29" t="s">
        <v>1265</v>
      </c>
      <c r="H270" s="29" t="s">
        <v>1266</v>
      </c>
      <c r="I270" s="29"/>
      <c r="J270" s="32" t="s">
        <v>21</v>
      </c>
      <c r="K270" s="60" t="s">
        <v>35</v>
      </c>
      <c r="L270" s="29" t="s">
        <v>23</v>
      </c>
      <c r="M270" s="31">
        <v>46288.0</v>
      </c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22.5" customHeight="1">
      <c r="A271" s="26">
        <f t="shared" si="1"/>
        <v>265</v>
      </c>
      <c r="B271" s="32" t="s">
        <v>126</v>
      </c>
      <c r="C271" s="28" t="str">
        <f t="shared" si="2"/>
        <v>TC-265</v>
      </c>
      <c r="D271" s="29" t="s">
        <v>1267</v>
      </c>
      <c r="E271" s="29" t="s">
        <v>1268</v>
      </c>
      <c r="F271" s="29" t="s">
        <v>1269</v>
      </c>
      <c r="G271" s="29" t="s">
        <v>1178</v>
      </c>
      <c r="H271" s="29" t="s">
        <v>1270</v>
      </c>
      <c r="I271" s="29"/>
      <c r="J271" s="32" t="s">
        <v>21</v>
      </c>
      <c r="K271" s="60" t="s">
        <v>22</v>
      </c>
      <c r="L271" s="29" t="s">
        <v>23</v>
      </c>
      <c r="M271" s="31">
        <v>46288.0</v>
      </c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22.5" customHeight="1">
      <c r="A272" s="26">
        <f t="shared" si="1"/>
        <v>266</v>
      </c>
      <c r="B272" s="32" t="s">
        <v>126</v>
      </c>
      <c r="C272" s="28" t="str">
        <f t="shared" si="2"/>
        <v>TC-266</v>
      </c>
      <c r="D272" s="29" t="s">
        <v>1271</v>
      </c>
      <c r="E272" s="29" t="s">
        <v>1268</v>
      </c>
      <c r="F272" s="29" t="s">
        <v>1272</v>
      </c>
      <c r="G272" s="29" t="s">
        <v>1273</v>
      </c>
      <c r="H272" s="29" t="s">
        <v>1274</v>
      </c>
      <c r="I272" s="29"/>
      <c r="J272" s="32" t="s">
        <v>21</v>
      </c>
      <c r="K272" s="60" t="s">
        <v>22</v>
      </c>
      <c r="L272" s="29" t="s">
        <v>23</v>
      </c>
      <c r="M272" s="31">
        <v>46288.0</v>
      </c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22.5" customHeight="1">
      <c r="A273" s="26">
        <f t="shared" si="1"/>
        <v>267</v>
      </c>
      <c r="B273" s="32" t="s">
        <v>126</v>
      </c>
      <c r="C273" s="28" t="str">
        <f t="shared" si="2"/>
        <v>TC-267</v>
      </c>
      <c r="D273" s="29" t="s">
        <v>1275</v>
      </c>
      <c r="E273" s="29" t="s">
        <v>1268</v>
      </c>
      <c r="F273" s="29" t="s">
        <v>1276</v>
      </c>
      <c r="G273" s="29" t="s">
        <v>1277</v>
      </c>
      <c r="H273" s="29" t="s">
        <v>1278</v>
      </c>
      <c r="I273" s="29"/>
      <c r="J273" s="32" t="s">
        <v>21</v>
      </c>
      <c r="K273" s="60" t="s">
        <v>22</v>
      </c>
      <c r="L273" s="29" t="s">
        <v>23</v>
      </c>
      <c r="M273" s="31">
        <v>46288.0</v>
      </c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22.5" customHeight="1">
      <c r="A274" s="26">
        <f t="shared" si="1"/>
        <v>268</v>
      </c>
      <c r="B274" s="32" t="s">
        <v>126</v>
      </c>
      <c r="C274" s="28" t="str">
        <f t="shared" si="2"/>
        <v>TC-268</v>
      </c>
      <c r="D274" s="29" t="s">
        <v>1279</v>
      </c>
      <c r="E274" s="29" t="s">
        <v>1268</v>
      </c>
      <c r="F274" s="29" t="s">
        <v>1280</v>
      </c>
      <c r="G274" s="29" t="s">
        <v>1281</v>
      </c>
      <c r="H274" s="29" t="s">
        <v>1282</v>
      </c>
      <c r="I274" s="29"/>
      <c r="J274" s="32" t="s">
        <v>21</v>
      </c>
      <c r="K274" s="60" t="s">
        <v>22</v>
      </c>
      <c r="L274" s="29" t="s">
        <v>23</v>
      </c>
      <c r="M274" s="31">
        <v>46288.0</v>
      </c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22.5" customHeight="1">
      <c r="A275" s="26">
        <f t="shared" si="1"/>
        <v>269</v>
      </c>
      <c r="B275" s="32" t="s">
        <v>126</v>
      </c>
      <c r="C275" s="28" t="str">
        <f t="shared" si="2"/>
        <v>TC-269</v>
      </c>
      <c r="D275" s="29" t="s">
        <v>1283</v>
      </c>
      <c r="E275" s="29" t="s">
        <v>1268</v>
      </c>
      <c r="F275" s="29" t="s">
        <v>1284</v>
      </c>
      <c r="G275" s="29" t="s">
        <v>1285</v>
      </c>
      <c r="H275" s="29" t="s">
        <v>1286</v>
      </c>
      <c r="I275" s="29"/>
      <c r="J275" s="32" t="s">
        <v>21</v>
      </c>
      <c r="K275" s="60" t="s">
        <v>35</v>
      </c>
      <c r="L275" s="29" t="s">
        <v>23</v>
      </c>
      <c r="M275" s="31">
        <v>46288.0</v>
      </c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22.5" customHeight="1">
      <c r="A276" s="26">
        <f t="shared" si="1"/>
        <v>270</v>
      </c>
      <c r="B276" s="32" t="s">
        <v>126</v>
      </c>
      <c r="C276" s="28" t="str">
        <f t="shared" si="2"/>
        <v>TC-270</v>
      </c>
      <c r="D276" s="29" t="s">
        <v>1287</v>
      </c>
      <c r="E276" s="29" t="s">
        <v>1288</v>
      </c>
      <c r="F276" s="29" t="s">
        <v>1289</v>
      </c>
      <c r="G276" s="29" t="s">
        <v>1290</v>
      </c>
      <c r="H276" s="29" t="s">
        <v>1291</v>
      </c>
      <c r="I276" s="29"/>
      <c r="J276" s="32" t="s">
        <v>21</v>
      </c>
      <c r="K276" s="60" t="s">
        <v>35</v>
      </c>
      <c r="L276" s="29" t="s">
        <v>23</v>
      </c>
      <c r="M276" s="31">
        <v>46288.0</v>
      </c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22.5" customHeight="1">
      <c r="A277" s="26">
        <f t="shared" si="1"/>
        <v>271</v>
      </c>
      <c r="B277" s="32" t="s">
        <v>126</v>
      </c>
      <c r="C277" s="28" t="str">
        <f t="shared" si="2"/>
        <v>TC-271</v>
      </c>
      <c r="D277" s="29" t="s">
        <v>1292</v>
      </c>
      <c r="E277" s="29" t="s">
        <v>1268</v>
      </c>
      <c r="F277" s="29" t="s">
        <v>1190</v>
      </c>
      <c r="G277" s="29" t="s">
        <v>1191</v>
      </c>
      <c r="H277" s="29" t="s">
        <v>1293</v>
      </c>
      <c r="I277" s="29"/>
      <c r="J277" s="32" t="s">
        <v>21</v>
      </c>
      <c r="K277" s="60" t="s">
        <v>35</v>
      </c>
      <c r="L277" s="29" t="s">
        <v>23</v>
      </c>
      <c r="M277" s="31">
        <v>46288.0</v>
      </c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22.5" customHeight="1">
      <c r="A278" s="26">
        <f t="shared" si="1"/>
        <v>272</v>
      </c>
      <c r="B278" s="32" t="s">
        <v>126</v>
      </c>
      <c r="C278" s="28" t="str">
        <f t="shared" si="2"/>
        <v>TC-272</v>
      </c>
      <c r="D278" s="29" t="s">
        <v>1294</v>
      </c>
      <c r="E278" s="29" t="s">
        <v>1268</v>
      </c>
      <c r="F278" s="29" t="s">
        <v>1295</v>
      </c>
      <c r="G278" s="29" t="s">
        <v>1296</v>
      </c>
      <c r="H278" s="29" t="s">
        <v>1297</v>
      </c>
      <c r="I278" s="29"/>
      <c r="J278" s="32" t="s">
        <v>21</v>
      </c>
      <c r="K278" s="60" t="s">
        <v>35</v>
      </c>
      <c r="L278" s="29" t="s">
        <v>23</v>
      </c>
      <c r="M278" s="31">
        <v>46288.0</v>
      </c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22.5" customHeight="1">
      <c r="A279" s="26">
        <f t="shared" si="1"/>
        <v>273</v>
      </c>
      <c r="B279" s="32" t="s">
        <v>126</v>
      </c>
      <c r="C279" s="28" t="str">
        <f t="shared" si="2"/>
        <v>TC-273</v>
      </c>
      <c r="D279" s="29" t="s">
        <v>1298</v>
      </c>
      <c r="E279" s="29" t="s">
        <v>1268</v>
      </c>
      <c r="F279" s="29" t="s">
        <v>1299</v>
      </c>
      <c r="G279" s="29" t="s">
        <v>1300</v>
      </c>
      <c r="H279" s="29" t="s">
        <v>1301</v>
      </c>
      <c r="I279" s="29"/>
      <c r="J279" s="32" t="s">
        <v>21</v>
      </c>
      <c r="K279" s="60" t="s">
        <v>35</v>
      </c>
      <c r="L279" s="29" t="s">
        <v>23</v>
      </c>
      <c r="M279" s="31">
        <v>46288.0</v>
      </c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22.5" customHeight="1">
      <c r="A280" s="26">
        <f t="shared" si="1"/>
        <v>274</v>
      </c>
      <c r="B280" s="32" t="s">
        <v>126</v>
      </c>
      <c r="C280" s="28" t="str">
        <f t="shared" si="2"/>
        <v>TC-274</v>
      </c>
      <c r="D280" s="29" t="s">
        <v>1302</v>
      </c>
      <c r="E280" s="29" t="s">
        <v>1268</v>
      </c>
      <c r="F280" s="29" t="s">
        <v>1303</v>
      </c>
      <c r="G280" s="29" t="s">
        <v>1304</v>
      </c>
      <c r="H280" s="29" t="s">
        <v>1305</v>
      </c>
      <c r="I280" s="29"/>
      <c r="J280" s="32" t="s">
        <v>21</v>
      </c>
      <c r="K280" s="60" t="s">
        <v>35</v>
      </c>
      <c r="L280" s="29" t="s">
        <v>23</v>
      </c>
      <c r="M280" s="31">
        <v>46288.0</v>
      </c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22.5" customHeight="1">
      <c r="A281" s="26">
        <f t="shared" si="1"/>
        <v>275</v>
      </c>
      <c r="B281" s="32" t="s">
        <v>126</v>
      </c>
      <c r="C281" s="28" t="str">
        <f t="shared" si="2"/>
        <v>TC-275</v>
      </c>
      <c r="D281" s="29" t="s">
        <v>1306</v>
      </c>
      <c r="E281" s="29" t="s">
        <v>1268</v>
      </c>
      <c r="F281" s="29" t="s">
        <v>1307</v>
      </c>
      <c r="G281" s="29" t="s">
        <v>1203</v>
      </c>
      <c r="H281" s="29" t="s">
        <v>1308</v>
      </c>
      <c r="I281" s="29"/>
      <c r="J281" s="32" t="s">
        <v>21</v>
      </c>
      <c r="K281" s="60" t="s">
        <v>22</v>
      </c>
      <c r="L281" s="29" t="s">
        <v>23</v>
      </c>
      <c r="M281" s="31">
        <v>46288.0</v>
      </c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22.5" customHeight="1">
      <c r="A282" s="26">
        <f t="shared" si="1"/>
        <v>276</v>
      </c>
      <c r="B282" s="32" t="s">
        <v>126</v>
      </c>
      <c r="C282" s="28" t="str">
        <f t="shared" si="2"/>
        <v>TC-276</v>
      </c>
      <c r="D282" s="29" t="s">
        <v>1309</v>
      </c>
      <c r="E282" s="29" t="s">
        <v>1310</v>
      </c>
      <c r="F282" s="29" t="s">
        <v>1311</v>
      </c>
      <c r="G282" s="29" t="s">
        <v>1312</v>
      </c>
      <c r="H282" s="29" t="s">
        <v>1313</v>
      </c>
      <c r="I282" s="29"/>
      <c r="J282" s="32" t="s">
        <v>21</v>
      </c>
      <c r="K282" s="60" t="s">
        <v>35</v>
      </c>
      <c r="L282" s="29" t="s">
        <v>23</v>
      </c>
      <c r="M282" s="31">
        <v>46288.0</v>
      </c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22.5" customHeight="1">
      <c r="A283" s="26">
        <f t="shared" si="1"/>
        <v>277</v>
      </c>
      <c r="B283" s="32" t="s">
        <v>126</v>
      </c>
      <c r="C283" s="28" t="str">
        <f t="shared" si="2"/>
        <v>TC-277</v>
      </c>
      <c r="D283" s="29" t="s">
        <v>1314</v>
      </c>
      <c r="E283" s="29" t="s">
        <v>1315</v>
      </c>
      <c r="F283" s="29" t="s">
        <v>1316</v>
      </c>
      <c r="G283" s="29" t="s">
        <v>1317</v>
      </c>
      <c r="H283" s="29" t="s">
        <v>1318</v>
      </c>
      <c r="I283" s="29"/>
      <c r="J283" s="32" t="s">
        <v>21</v>
      </c>
      <c r="K283" s="60" t="s">
        <v>22</v>
      </c>
      <c r="L283" s="29" t="s">
        <v>23</v>
      </c>
      <c r="M283" s="31">
        <v>46288.0</v>
      </c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22.5" customHeight="1">
      <c r="A284" s="26">
        <f t="shared" si="1"/>
        <v>278</v>
      </c>
      <c r="B284" s="32" t="s">
        <v>126</v>
      </c>
      <c r="C284" s="28" t="str">
        <f t="shared" si="2"/>
        <v>TC-278</v>
      </c>
      <c r="D284" s="29" t="s">
        <v>1319</v>
      </c>
      <c r="E284" s="29" t="s">
        <v>1268</v>
      </c>
      <c r="F284" s="29" t="s">
        <v>1320</v>
      </c>
      <c r="G284" s="29" t="s">
        <v>1321</v>
      </c>
      <c r="H284" s="29" t="s">
        <v>1322</v>
      </c>
      <c r="I284" s="29"/>
      <c r="J284" s="32" t="s">
        <v>21</v>
      </c>
      <c r="K284" s="60" t="s">
        <v>35</v>
      </c>
      <c r="L284" s="29" t="s">
        <v>23</v>
      </c>
      <c r="M284" s="31">
        <v>46288.0</v>
      </c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22.5" customHeight="1">
      <c r="A285" s="26">
        <f t="shared" si="1"/>
        <v>279</v>
      </c>
      <c r="B285" s="32" t="s">
        <v>126</v>
      </c>
      <c r="C285" s="28" t="str">
        <f t="shared" si="2"/>
        <v>TC-279</v>
      </c>
      <c r="D285" s="29" t="s">
        <v>1323</v>
      </c>
      <c r="E285" s="29" t="s">
        <v>1268</v>
      </c>
      <c r="F285" s="29" t="s">
        <v>1324</v>
      </c>
      <c r="G285" s="29" t="s">
        <v>1325</v>
      </c>
      <c r="H285" s="29" t="s">
        <v>1326</v>
      </c>
      <c r="I285" s="29"/>
      <c r="J285" s="32" t="s">
        <v>21</v>
      </c>
      <c r="K285" s="60" t="s">
        <v>35</v>
      </c>
      <c r="L285" s="29" t="s">
        <v>23</v>
      </c>
      <c r="M285" s="31">
        <v>46288.0</v>
      </c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22.5" customHeight="1">
      <c r="A286" s="26">
        <f t="shared" si="1"/>
        <v>280</v>
      </c>
      <c r="B286" s="32" t="s">
        <v>126</v>
      </c>
      <c r="C286" s="28" t="str">
        <f t="shared" si="2"/>
        <v>TC-280</v>
      </c>
      <c r="D286" s="29" t="s">
        <v>1327</v>
      </c>
      <c r="E286" s="29" t="s">
        <v>1328</v>
      </c>
      <c r="F286" s="29" t="s">
        <v>1329</v>
      </c>
      <c r="G286" s="29" t="s">
        <v>1208</v>
      </c>
      <c r="H286" s="29" t="s">
        <v>1330</v>
      </c>
      <c r="I286" s="29"/>
      <c r="J286" s="32" t="s">
        <v>21</v>
      </c>
      <c r="K286" s="60" t="s">
        <v>78</v>
      </c>
      <c r="L286" s="29" t="s">
        <v>23</v>
      </c>
      <c r="M286" s="31">
        <v>46288.0</v>
      </c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22.5" customHeight="1">
      <c r="A287" s="26">
        <f t="shared" si="1"/>
        <v>281</v>
      </c>
      <c r="B287" s="32" t="s">
        <v>126</v>
      </c>
      <c r="C287" s="28" t="str">
        <f t="shared" si="2"/>
        <v>TC-281</v>
      </c>
      <c r="D287" s="29" t="s">
        <v>1331</v>
      </c>
      <c r="E287" s="29" t="s">
        <v>1332</v>
      </c>
      <c r="F287" s="29" t="s">
        <v>1333</v>
      </c>
      <c r="G287" s="29" t="s">
        <v>1334</v>
      </c>
      <c r="H287" s="29" t="s">
        <v>1335</v>
      </c>
      <c r="I287" s="29"/>
      <c r="J287" s="32" t="s">
        <v>21</v>
      </c>
      <c r="K287" s="60" t="s">
        <v>22</v>
      </c>
      <c r="L287" s="29" t="s">
        <v>23</v>
      </c>
      <c r="M287" s="31">
        <v>46288.0</v>
      </c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22.5" customHeight="1">
      <c r="A288" s="26">
        <f t="shared" si="1"/>
        <v>282</v>
      </c>
      <c r="B288" s="32" t="s">
        <v>126</v>
      </c>
      <c r="C288" s="28" t="str">
        <f t="shared" si="2"/>
        <v>TC-282</v>
      </c>
      <c r="D288" s="29" t="s">
        <v>1336</v>
      </c>
      <c r="E288" s="29" t="s">
        <v>1332</v>
      </c>
      <c r="F288" s="29" t="s">
        <v>1337</v>
      </c>
      <c r="G288" s="29" t="s">
        <v>1338</v>
      </c>
      <c r="H288" s="29" t="s">
        <v>1339</v>
      </c>
      <c r="I288" s="29"/>
      <c r="J288" s="32" t="s">
        <v>21</v>
      </c>
      <c r="K288" s="60" t="s">
        <v>22</v>
      </c>
      <c r="L288" s="29" t="s">
        <v>23</v>
      </c>
      <c r="M288" s="31">
        <v>46288.0</v>
      </c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22.5" customHeight="1">
      <c r="A289" s="26">
        <f t="shared" si="1"/>
        <v>283</v>
      </c>
      <c r="B289" s="32" t="s">
        <v>126</v>
      </c>
      <c r="C289" s="28" t="str">
        <f t="shared" si="2"/>
        <v>TC-283</v>
      </c>
      <c r="D289" s="29" t="s">
        <v>1340</v>
      </c>
      <c r="E289" s="29" t="s">
        <v>1332</v>
      </c>
      <c r="F289" s="29" t="s">
        <v>1341</v>
      </c>
      <c r="G289" s="29" t="s">
        <v>1342</v>
      </c>
      <c r="H289" s="29" t="s">
        <v>1343</v>
      </c>
      <c r="I289" s="29"/>
      <c r="J289" s="32" t="s">
        <v>52</v>
      </c>
      <c r="K289" s="60" t="s">
        <v>35</v>
      </c>
      <c r="L289" s="29"/>
      <c r="M289" s="3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22.5" customHeight="1">
      <c r="A290" s="26">
        <f t="shared" si="1"/>
        <v>284</v>
      </c>
      <c r="B290" s="32" t="s">
        <v>126</v>
      </c>
      <c r="C290" s="28" t="str">
        <f t="shared" si="2"/>
        <v>TC-284</v>
      </c>
      <c r="D290" s="29" t="s">
        <v>1344</v>
      </c>
      <c r="E290" s="29" t="s">
        <v>1332</v>
      </c>
      <c r="F290" s="29" t="s">
        <v>1345</v>
      </c>
      <c r="G290" s="29" t="s">
        <v>1346</v>
      </c>
      <c r="H290" s="29" t="s">
        <v>1347</v>
      </c>
      <c r="I290" s="29"/>
      <c r="J290" s="32" t="s">
        <v>21</v>
      </c>
      <c r="K290" s="60" t="s">
        <v>35</v>
      </c>
      <c r="L290" s="29" t="s">
        <v>23</v>
      </c>
      <c r="M290" s="31">
        <v>46288.0</v>
      </c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22.5" customHeight="1">
      <c r="A291" s="26">
        <f t="shared" si="1"/>
        <v>285</v>
      </c>
      <c r="B291" s="32" t="s">
        <v>126</v>
      </c>
      <c r="C291" s="28" t="str">
        <f t="shared" si="2"/>
        <v>TC-285</v>
      </c>
      <c r="D291" s="29" t="s">
        <v>1348</v>
      </c>
      <c r="E291" s="29" t="s">
        <v>1349</v>
      </c>
      <c r="F291" s="29" t="s">
        <v>1350</v>
      </c>
      <c r="G291" s="29" t="s">
        <v>1351</v>
      </c>
      <c r="H291" s="29" t="s">
        <v>1352</v>
      </c>
      <c r="I291" s="29"/>
      <c r="J291" s="32" t="s">
        <v>21</v>
      </c>
      <c r="K291" s="60" t="s">
        <v>35</v>
      </c>
      <c r="L291" s="29" t="s">
        <v>23</v>
      </c>
      <c r="M291" s="31">
        <v>46288.0</v>
      </c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22.5" customHeight="1">
      <c r="A292" s="26">
        <f t="shared" si="1"/>
        <v>286</v>
      </c>
      <c r="B292" s="32" t="s">
        <v>126</v>
      </c>
      <c r="C292" s="28" t="str">
        <f t="shared" si="2"/>
        <v>TC-286</v>
      </c>
      <c r="D292" s="29" t="s">
        <v>1353</v>
      </c>
      <c r="E292" s="29" t="s">
        <v>1332</v>
      </c>
      <c r="F292" s="29" t="s">
        <v>1354</v>
      </c>
      <c r="G292" s="29" t="s">
        <v>1355</v>
      </c>
      <c r="H292" s="29" t="s">
        <v>1356</v>
      </c>
      <c r="I292" s="29"/>
      <c r="J292" s="32" t="s">
        <v>21</v>
      </c>
      <c r="K292" s="60" t="s">
        <v>35</v>
      </c>
      <c r="L292" s="29" t="s">
        <v>23</v>
      </c>
      <c r="M292" s="31">
        <v>46288.0</v>
      </c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22.5" customHeight="1">
      <c r="A293" s="26">
        <f t="shared" si="1"/>
        <v>287</v>
      </c>
      <c r="B293" s="32" t="s">
        <v>126</v>
      </c>
      <c r="C293" s="28" t="str">
        <f t="shared" si="2"/>
        <v>TC-287</v>
      </c>
      <c r="D293" s="29" t="s">
        <v>1357</v>
      </c>
      <c r="E293" s="29" t="s">
        <v>1358</v>
      </c>
      <c r="F293" s="29" t="s">
        <v>1359</v>
      </c>
      <c r="G293" s="29" t="s">
        <v>1360</v>
      </c>
      <c r="H293" s="29" t="s">
        <v>1361</v>
      </c>
      <c r="I293" s="29"/>
      <c r="J293" s="32" t="s">
        <v>21</v>
      </c>
      <c r="K293" s="60" t="s">
        <v>22</v>
      </c>
      <c r="L293" s="29" t="s">
        <v>23</v>
      </c>
      <c r="M293" s="31">
        <v>46288.0</v>
      </c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22.5" customHeight="1">
      <c r="A294" s="26">
        <f t="shared" si="1"/>
        <v>288</v>
      </c>
      <c r="B294" s="32" t="s">
        <v>126</v>
      </c>
      <c r="C294" s="28" t="str">
        <f t="shared" si="2"/>
        <v>TC-288</v>
      </c>
      <c r="D294" s="29" t="s">
        <v>1362</v>
      </c>
      <c r="E294" s="29" t="s">
        <v>1363</v>
      </c>
      <c r="F294" s="29" t="s">
        <v>1364</v>
      </c>
      <c r="G294" s="29" t="s">
        <v>1365</v>
      </c>
      <c r="H294" s="29" t="s">
        <v>1366</v>
      </c>
      <c r="I294" s="29"/>
      <c r="J294" s="32" t="s">
        <v>21</v>
      </c>
      <c r="K294" s="60" t="s">
        <v>22</v>
      </c>
      <c r="L294" s="29" t="s">
        <v>23</v>
      </c>
      <c r="M294" s="31">
        <v>46288.0</v>
      </c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22.5" customHeight="1">
      <c r="A295" s="26">
        <f t="shared" si="1"/>
        <v>289</v>
      </c>
      <c r="B295" s="32" t="s">
        <v>126</v>
      </c>
      <c r="C295" s="28" t="str">
        <f t="shared" si="2"/>
        <v>TC-289</v>
      </c>
      <c r="D295" s="29" t="s">
        <v>1367</v>
      </c>
      <c r="E295" s="29" t="s">
        <v>1363</v>
      </c>
      <c r="F295" s="29" t="s">
        <v>1368</v>
      </c>
      <c r="G295" s="29" t="s">
        <v>1369</v>
      </c>
      <c r="H295" s="29" t="s">
        <v>1370</v>
      </c>
      <c r="I295" s="29"/>
      <c r="J295" s="32" t="s">
        <v>21</v>
      </c>
      <c r="K295" s="60" t="s">
        <v>22</v>
      </c>
      <c r="L295" s="29" t="s">
        <v>23</v>
      </c>
      <c r="M295" s="31">
        <v>46288.0</v>
      </c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22.5" customHeight="1">
      <c r="A296" s="26">
        <f t="shared" si="1"/>
        <v>290</v>
      </c>
      <c r="B296" s="32" t="s">
        <v>126</v>
      </c>
      <c r="C296" s="28" t="str">
        <f t="shared" si="2"/>
        <v>TC-290</v>
      </c>
      <c r="D296" s="29" t="s">
        <v>1371</v>
      </c>
      <c r="E296" s="29" t="s">
        <v>1372</v>
      </c>
      <c r="F296" s="29" t="s">
        <v>1373</v>
      </c>
      <c r="G296" s="29" t="s">
        <v>1374</v>
      </c>
      <c r="H296" s="29" t="s">
        <v>1375</v>
      </c>
      <c r="I296" s="29"/>
      <c r="J296" s="32" t="s">
        <v>21</v>
      </c>
      <c r="K296" s="60" t="s">
        <v>35</v>
      </c>
      <c r="L296" s="29" t="s">
        <v>23</v>
      </c>
      <c r="M296" s="31">
        <v>46288.0</v>
      </c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22.5" customHeight="1">
      <c r="A297" s="26">
        <f t="shared" si="1"/>
        <v>291</v>
      </c>
      <c r="B297" s="32" t="s">
        <v>126</v>
      </c>
      <c r="C297" s="28" t="str">
        <f t="shared" si="2"/>
        <v>TC-291</v>
      </c>
      <c r="D297" s="29" t="s">
        <v>1376</v>
      </c>
      <c r="E297" s="29" t="s">
        <v>1377</v>
      </c>
      <c r="F297" s="29" t="s">
        <v>1378</v>
      </c>
      <c r="G297" s="29" t="s">
        <v>1379</v>
      </c>
      <c r="H297" s="29" t="s">
        <v>1380</v>
      </c>
      <c r="I297" s="29"/>
      <c r="J297" s="32" t="s">
        <v>21</v>
      </c>
      <c r="K297" s="60" t="s">
        <v>22</v>
      </c>
      <c r="L297" s="29" t="s">
        <v>23</v>
      </c>
      <c r="M297" s="31">
        <v>46288.0</v>
      </c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22.5" customHeight="1">
      <c r="A298" s="26">
        <f t="shared" si="1"/>
        <v>292</v>
      </c>
      <c r="B298" s="32" t="s">
        <v>126</v>
      </c>
      <c r="C298" s="28" t="str">
        <f t="shared" si="2"/>
        <v>TC-292</v>
      </c>
      <c r="D298" s="29" t="s">
        <v>1381</v>
      </c>
      <c r="E298" s="29" t="s">
        <v>1382</v>
      </c>
      <c r="F298" s="29" t="s">
        <v>1383</v>
      </c>
      <c r="G298" s="29" t="s">
        <v>1384</v>
      </c>
      <c r="H298" s="29" t="s">
        <v>1385</v>
      </c>
      <c r="I298" s="29"/>
      <c r="J298" s="32" t="s">
        <v>21</v>
      </c>
      <c r="K298" s="60" t="s">
        <v>22</v>
      </c>
      <c r="L298" s="29" t="s">
        <v>23</v>
      </c>
      <c r="M298" s="31">
        <v>46288.0</v>
      </c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22.5" customHeight="1">
      <c r="A299" s="26">
        <f t="shared" si="1"/>
        <v>293</v>
      </c>
      <c r="B299" s="32" t="s">
        <v>126</v>
      </c>
      <c r="C299" s="28" t="str">
        <f t="shared" si="2"/>
        <v>TC-293</v>
      </c>
      <c r="D299" s="29" t="s">
        <v>1386</v>
      </c>
      <c r="E299" s="29" t="s">
        <v>1387</v>
      </c>
      <c r="F299" s="29" t="s">
        <v>1388</v>
      </c>
      <c r="G299" s="29" t="s">
        <v>1389</v>
      </c>
      <c r="H299" s="29" t="s">
        <v>1390</v>
      </c>
      <c r="I299" s="29"/>
      <c r="J299" s="32" t="s">
        <v>21</v>
      </c>
      <c r="K299" s="60" t="s">
        <v>22</v>
      </c>
      <c r="L299" s="29" t="s">
        <v>23</v>
      </c>
      <c r="M299" s="31">
        <v>46288.0</v>
      </c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22.5" customHeight="1">
      <c r="A300" s="26">
        <f t="shared" si="1"/>
        <v>294</v>
      </c>
      <c r="B300" s="32" t="s">
        <v>126</v>
      </c>
      <c r="C300" s="28" t="str">
        <f t="shared" si="2"/>
        <v>TC-294</v>
      </c>
      <c r="D300" s="29" t="s">
        <v>1391</v>
      </c>
      <c r="E300" s="29" t="s">
        <v>1161</v>
      </c>
      <c r="F300" s="29" t="s">
        <v>1392</v>
      </c>
      <c r="G300" s="29" t="s">
        <v>1393</v>
      </c>
      <c r="H300" s="29" t="s">
        <v>1394</v>
      </c>
      <c r="I300" s="29"/>
      <c r="J300" s="32" t="s">
        <v>21</v>
      </c>
      <c r="K300" s="60" t="s">
        <v>22</v>
      </c>
      <c r="L300" s="29" t="s">
        <v>23</v>
      </c>
      <c r="M300" s="31">
        <v>46288.0</v>
      </c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22.5" customHeight="1">
      <c r="A301" s="26">
        <f t="shared" si="1"/>
        <v>295</v>
      </c>
      <c r="B301" s="32" t="s">
        <v>126</v>
      </c>
      <c r="C301" s="28" t="str">
        <f t="shared" si="2"/>
        <v>TC-295</v>
      </c>
      <c r="D301" s="29" t="s">
        <v>1395</v>
      </c>
      <c r="E301" s="29" t="s">
        <v>1396</v>
      </c>
      <c r="F301" s="29" t="s">
        <v>1397</v>
      </c>
      <c r="G301" s="29" t="s">
        <v>1398</v>
      </c>
      <c r="H301" s="29" t="s">
        <v>1399</v>
      </c>
      <c r="I301" s="29"/>
      <c r="J301" s="32" t="s">
        <v>21</v>
      </c>
      <c r="K301" s="60" t="s">
        <v>22</v>
      </c>
      <c r="L301" s="29" t="s">
        <v>23</v>
      </c>
      <c r="M301" s="31">
        <v>46288.0</v>
      </c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22.5" customHeight="1">
      <c r="A302" s="26">
        <f t="shared" si="1"/>
        <v>296</v>
      </c>
      <c r="B302" s="32" t="s">
        <v>126</v>
      </c>
      <c r="C302" s="28" t="str">
        <f t="shared" si="2"/>
        <v>TC-296</v>
      </c>
      <c r="D302" s="29" t="s">
        <v>1400</v>
      </c>
      <c r="E302" s="29" t="s">
        <v>1401</v>
      </c>
      <c r="F302" s="29" t="s">
        <v>1402</v>
      </c>
      <c r="G302" s="29" t="s">
        <v>1403</v>
      </c>
      <c r="H302" s="29" t="s">
        <v>1404</v>
      </c>
      <c r="I302" s="29"/>
      <c r="J302" s="32" t="s">
        <v>21</v>
      </c>
      <c r="K302" s="60" t="s">
        <v>35</v>
      </c>
      <c r="L302" s="29" t="s">
        <v>23</v>
      </c>
      <c r="M302" s="31">
        <v>46288.0</v>
      </c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22.5" customHeight="1">
      <c r="A303" s="26">
        <f t="shared" si="1"/>
        <v>297</v>
      </c>
      <c r="B303" s="32" t="s">
        <v>126</v>
      </c>
      <c r="C303" s="28" t="str">
        <f t="shared" si="2"/>
        <v>TC-297</v>
      </c>
      <c r="D303" s="29" t="s">
        <v>1405</v>
      </c>
      <c r="E303" s="29" t="s">
        <v>1396</v>
      </c>
      <c r="F303" s="29" t="s">
        <v>1406</v>
      </c>
      <c r="G303" s="29" t="s">
        <v>1407</v>
      </c>
      <c r="H303" s="29" t="s">
        <v>1408</v>
      </c>
      <c r="I303" s="29"/>
      <c r="J303" s="32" t="s">
        <v>21</v>
      </c>
      <c r="K303" s="60" t="s">
        <v>35</v>
      </c>
      <c r="L303" s="29" t="s">
        <v>23</v>
      </c>
      <c r="M303" s="31">
        <v>46288.0</v>
      </c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22.5" customHeight="1">
      <c r="A304" s="26">
        <f t="shared" si="1"/>
        <v>298</v>
      </c>
      <c r="B304" s="32" t="s">
        <v>126</v>
      </c>
      <c r="C304" s="28" t="str">
        <f t="shared" si="2"/>
        <v>TC-298</v>
      </c>
      <c r="D304" s="29" t="s">
        <v>1409</v>
      </c>
      <c r="E304" s="29" t="s">
        <v>1401</v>
      </c>
      <c r="F304" s="29" t="s">
        <v>1410</v>
      </c>
      <c r="G304" s="29" t="s">
        <v>1411</v>
      </c>
      <c r="H304" s="29" t="s">
        <v>1412</v>
      </c>
      <c r="I304" s="29"/>
      <c r="J304" s="32" t="s">
        <v>21</v>
      </c>
      <c r="K304" s="60" t="s">
        <v>22</v>
      </c>
      <c r="L304" s="29" t="s">
        <v>23</v>
      </c>
      <c r="M304" s="31">
        <v>46288.0</v>
      </c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22.5" customHeight="1">
      <c r="A305" s="26">
        <f t="shared" si="1"/>
        <v>299</v>
      </c>
      <c r="B305" s="32" t="s">
        <v>126</v>
      </c>
      <c r="C305" s="28" t="str">
        <f t="shared" si="2"/>
        <v>TC-299</v>
      </c>
      <c r="D305" s="29" t="s">
        <v>1413</v>
      </c>
      <c r="E305" s="29" t="s">
        <v>1396</v>
      </c>
      <c r="F305" s="29" t="s">
        <v>1414</v>
      </c>
      <c r="G305" s="29" t="s">
        <v>1415</v>
      </c>
      <c r="H305" s="29" t="s">
        <v>1416</v>
      </c>
      <c r="I305" s="29"/>
      <c r="J305" s="32" t="s">
        <v>21</v>
      </c>
      <c r="K305" s="60" t="s">
        <v>22</v>
      </c>
      <c r="L305" s="29" t="s">
        <v>23</v>
      </c>
      <c r="M305" s="31">
        <v>46288.0</v>
      </c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22.5" customHeight="1">
      <c r="A306" s="26">
        <f t="shared" si="1"/>
        <v>300</v>
      </c>
      <c r="B306" s="32" t="s">
        <v>126</v>
      </c>
      <c r="C306" s="28" t="str">
        <f t="shared" si="2"/>
        <v>TC-300</v>
      </c>
      <c r="D306" s="29" t="s">
        <v>1417</v>
      </c>
      <c r="E306" s="29" t="s">
        <v>1396</v>
      </c>
      <c r="F306" s="29" t="s">
        <v>1418</v>
      </c>
      <c r="G306" s="29" t="s">
        <v>1419</v>
      </c>
      <c r="H306" s="29" t="s">
        <v>1420</v>
      </c>
      <c r="I306" s="29"/>
      <c r="J306" s="32" t="s">
        <v>21</v>
      </c>
      <c r="K306" s="60" t="s">
        <v>35</v>
      </c>
      <c r="L306" s="29" t="s">
        <v>23</v>
      </c>
      <c r="M306" s="31">
        <v>46288.0</v>
      </c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22.5" customHeight="1">
      <c r="A307" s="26">
        <f t="shared" si="1"/>
        <v>301</v>
      </c>
      <c r="B307" s="32" t="s">
        <v>126</v>
      </c>
      <c r="C307" s="28" t="str">
        <f t="shared" si="2"/>
        <v>TC-301</v>
      </c>
      <c r="D307" s="29" t="s">
        <v>1421</v>
      </c>
      <c r="E307" s="29" t="s">
        <v>1396</v>
      </c>
      <c r="F307" s="29" t="s">
        <v>1422</v>
      </c>
      <c r="G307" s="29" t="s">
        <v>1423</v>
      </c>
      <c r="H307" s="29" t="s">
        <v>1424</v>
      </c>
      <c r="I307" s="29"/>
      <c r="J307" s="32" t="s">
        <v>21</v>
      </c>
      <c r="K307" s="60" t="s">
        <v>35</v>
      </c>
      <c r="L307" s="29" t="s">
        <v>23</v>
      </c>
      <c r="M307" s="31">
        <v>46288.0</v>
      </c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22.5" customHeight="1">
      <c r="A308" s="26">
        <f t="shared" si="1"/>
        <v>302</v>
      </c>
      <c r="B308" s="32" t="s">
        <v>126</v>
      </c>
      <c r="C308" s="28" t="str">
        <f t="shared" si="2"/>
        <v>TC-302</v>
      </c>
      <c r="D308" s="29" t="s">
        <v>1425</v>
      </c>
      <c r="E308" s="29" t="s">
        <v>1426</v>
      </c>
      <c r="F308" s="29" t="s">
        <v>1427</v>
      </c>
      <c r="G308" s="29" t="s">
        <v>1428</v>
      </c>
      <c r="H308" s="29" t="s">
        <v>1429</v>
      </c>
      <c r="I308" s="29"/>
      <c r="J308" s="32" t="s">
        <v>21</v>
      </c>
      <c r="K308" s="60" t="s">
        <v>22</v>
      </c>
      <c r="L308" s="29" t="s">
        <v>23</v>
      </c>
      <c r="M308" s="31">
        <v>46288.0</v>
      </c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22.5" customHeight="1">
      <c r="A309" s="26">
        <f t="shared" si="1"/>
        <v>303</v>
      </c>
      <c r="B309" s="32" t="s">
        <v>126</v>
      </c>
      <c r="C309" s="28" t="str">
        <f t="shared" si="2"/>
        <v>TC-303</v>
      </c>
      <c r="D309" s="29" t="s">
        <v>1430</v>
      </c>
      <c r="E309" s="29" t="s">
        <v>1431</v>
      </c>
      <c r="F309" s="29" t="s">
        <v>1432</v>
      </c>
      <c r="G309" s="29" t="s">
        <v>1433</v>
      </c>
      <c r="H309" s="29" t="s">
        <v>1434</v>
      </c>
      <c r="I309" s="29"/>
      <c r="J309" s="32" t="s">
        <v>21</v>
      </c>
      <c r="K309" s="60" t="s">
        <v>22</v>
      </c>
      <c r="L309" s="29" t="s">
        <v>23</v>
      </c>
      <c r="M309" s="31">
        <v>46288.0</v>
      </c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22.5" customHeight="1">
      <c r="A310" s="26">
        <f t="shared" si="1"/>
        <v>304</v>
      </c>
      <c r="B310" s="32" t="s">
        <v>126</v>
      </c>
      <c r="C310" s="28" t="str">
        <f t="shared" si="2"/>
        <v>TC-304</v>
      </c>
      <c r="D310" s="29" t="s">
        <v>1435</v>
      </c>
      <c r="E310" s="29" t="s">
        <v>1436</v>
      </c>
      <c r="F310" s="29" t="s">
        <v>1437</v>
      </c>
      <c r="G310" s="29" t="s">
        <v>1438</v>
      </c>
      <c r="H310" s="29" t="s">
        <v>1439</v>
      </c>
      <c r="I310" s="29"/>
      <c r="J310" s="32" t="s">
        <v>21</v>
      </c>
      <c r="K310" s="60" t="s">
        <v>35</v>
      </c>
      <c r="L310" s="29" t="s">
        <v>23</v>
      </c>
      <c r="M310" s="31">
        <v>46288.0</v>
      </c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22.5" customHeight="1">
      <c r="A311" s="26">
        <f t="shared" si="1"/>
        <v>305</v>
      </c>
      <c r="B311" s="32" t="s">
        <v>126</v>
      </c>
      <c r="C311" s="28" t="str">
        <f t="shared" si="2"/>
        <v>TC-305</v>
      </c>
      <c r="D311" s="29" t="s">
        <v>1440</v>
      </c>
      <c r="E311" s="29" t="s">
        <v>1441</v>
      </c>
      <c r="F311" s="29" t="s">
        <v>1437</v>
      </c>
      <c r="G311" s="29" t="s">
        <v>1442</v>
      </c>
      <c r="H311" s="29" t="s">
        <v>1443</v>
      </c>
      <c r="I311" s="29"/>
      <c r="J311" s="32" t="s">
        <v>21</v>
      </c>
      <c r="K311" s="60" t="s">
        <v>22</v>
      </c>
      <c r="L311" s="29" t="s">
        <v>23</v>
      </c>
      <c r="M311" s="31">
        <v>46288.0</v>
      </c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22.5" customHeight="1">
      <c r="A312" s="26">
        <f t="shared" si="1"/>
        <v>306</v>
      </c>
      <c r="B312" s="32" t="s">
        <v>126</v>
      </c>
      <c r="C312" s="28" t="str">
        <f t="shared" si="2"/>
        <v>TC-306</v>
      </c>
      <c r="D312" s="29" t="s">
        <v>1444</v>
      </c>
      <c r="E312" s="29" t="s">
        <v>1445</v>
      </c>
      <c r="F312" s="29" t="s">
        <v>1446</v>
      </c>
      <c r="G312" s="29" t="s">
        <v>1447</v>
      </c>
      <c r="H312" s="29" t="s">
        <v>1448</v>
      </c>
      <c r="I312" s="29"/>
      <c r="J312" s="32" t="s">
        <v>21</v>
      </c>
      <c r="K312" s="60" t="s">
        <v>22</v>
      </c>
      <c r="L312" s="29" t="s">
        <v>23</v>
      </c>
      <c r="M312" s="31">
        <v>46288.0</v>
      </c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22.5" customHeight="1">
      <c r="A313" s="26">
        <f t="shared" si="1"/>
        <v>307</v>
      </c>
      <c r="B313" s="32" t="s">
        <v>126</v>
      </c>
      <c r="C313" s="28" t="str">
        <f t="shared" si="2"/>
        <v>TC-307</v>
      </c>
      <c r="D313" s="29" t="s">
        <v>1449</v>
      </c>
      <c r="E313" s="29" t="s">
        <v>1450</v>
      </c>
      <c r="F313" s="29" t="s">
        <v>1451</v>
      </c>
      <c r="G313" s="29" t="s">
        <v>1452</v>
      </c>
      <c r="H313" s="29" t="s">
        <v>1453</v>
      </c>
      <c r="I313" s="29"/>
      <c r="J313" s="32" t="s">
        <v>21</v>
      </c>
      <c r="K313" s="60" t="s">
        <v>22</v>
      </c>
      <c r="L313" s="29" t="s">
        <v>23</v>
      </c>
      <c r="M313" s="31">
        <v>46288.0</v>
      </c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22.5" customHeight="1">
      <c r="A314" s="26">
        <f t="shared" si="1"/>
        <v>308</v>
      </c>
      <c r="B314" s="32" t="s">
        <v>126</v>
      </c>
      <c r="C314" s="28" t="str">
        <f t="shared" si="2"/>
        <v>TC-308</v>
      </c>
      <c r="D314" s="29" t="s">
        <v>1454</v>
      </c>
      <c r="E314" s="29" t="s">
        <v>1455</v>
      </c>
      <c r="F314" s="29" t="s">
        <v>1456</v>
      </c>
      <c r="G314" s="29" t="s">
        <v>1457</v>
      </c>
      <c r="H314" s="29" t="s">
        <v>1458</v>
      </c>
      <c r="I314" s="29"/>
      <c r="J314" s="32" t="s">
        <v>21</v>
      </c>
      <c r="K314" s="60" t="s">
        <v>35</v>
      </c>
      <c r="L314" s="29" t="s">
        <v>23</v>
      </c>
      <c r="M314" s="31">
        <v>46288.0</v>
      </c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22.5" customHeight="1">
      <c r="A315" s="26">
        <f t="shared" si="1"/>
        <v>309</v>
      </c>
      <c r="B315" s="32" t="s">
        <v>126</v>
      </c>
      <c r="C315" s="28" t="str">
        <f t="shared" si="2"/>
        <v>TC-309</v>
      </c>
      <c r="D315" s="29" t="s">
        <v>1459</v>
      </c>
      <c r="E315" s="29" t="s">
        <v>1460</v>
      </c>
      <c r="F315" s="29" t="s">
        <v>1437</v>
      </c>
      <c r="G315" s="29" t="s">
        <v>1461</v>
      </c>
      <c r="H315" s="29" t="s">
        <v>1462</v>
      </c>
      <c r="I315" s="29"/>
      <c r="J315" s="32" t="s">
        <v>21</v>
      </c>
      <c r="K315" s="60" t="s">
        <v>22</v>
      </c>
      <c r="L315" s="29" t="s">
        <v>23</v>
      </c>
      <c r="M315" s="31">
        <v>46288.0</v>
      </c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22.5" customHeight="1">
      <c r="A316" s="26">
        <f t="shared" si="1"/>
        <v>310</v>
      </c>
      <c r="B316" s="32" t="s">
        <v>126</v>
      </c>
      <c r="C316" s="28" t="str">
        <f t="shared" si="2"/>
        <v>TC-310</v>
      </c>
      <c r="D316" s="29" t="s">
        <v>1463</v>
      </c>
      <c r="E316" s="29" t="s">
        <v>1464</v>
      </c>
      <c r="F316" s="29" t="s">
        <v>1465</v>
      </c>
      <c r="G316" s="29" t="s">
        <v>1466</v>
      </c>
      <c r="H316" s="29" t="s">
        <v>1467</v>
      </c>
      <c r="I316" s="29"/>
      <c r="J316" s="32" t="s">
        <v>21</v>
      </c>
      <c r="K316" s="60" t="s">
        <v>22</v>
      </c>
      <c r="L316" s="29" t="s">
        <v>23</v>
      </c>
      <c r="M316" s="31">
        <v>46288.0</v>
      </c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22.5" customHeight="1">
      <c r="A317" s="26">
        <f t="shared" si="1"/>
        <v>311</v>
      </c>
      <c r="B317" s="32" t="s">
        <v>126</v>
      </c>
      <c r="C317" s="28" t="str">
        <f t="shared" si="2"/>
        <v>TC-311</v>
      </c>
      <c r="D317" s="29" t="s">
        <v>1468</v>
      </c>
      <c r="E317" s="29" t="s">
        <v>1469</v>
      </c>
      <c r="F317" s="29" t="s">
        <v>1470</v>
      </c>
      <c r="G317" s="29"/>
      <c r="H317" s="29" t="s">
        <v>1471</v>
      </c>
      <c r="I317" s="29"/>
      <c r="J317" s="32" t="s">
        <v>52</v>
      </c>
      <c r="K317" s="60" t="s">
        <v>35</v>
      </c>
      <c r="L317" s="29"/>
      <c r="M317" s="3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62"/>
      <c r="B318" s="11"/>
      <c r="C318" s="63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62"/>
      <c r="B319" s="11"/>
      <c r="C319" s="63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62"/>
      <c r="B320" s="11"/>
      <c r="C320" s="63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62"/>
      <c r="B321" s="11"/>
      <c r="C321" s="63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62"/>
      <c r="B322" s="11"/>
      <c r="C322" s="63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62"/>
      <c r="B323" s="11"/>
      <c r="C323" s="63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62"/>
      <c r="B324" s="11"/>
      <c r="C324" s="63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62"/>
      <c r="B325" s="11"/>
      <c r="C325" s="63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62"/>
      <c r="B326" s="11"/>
      <c r="C326" s="63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62"/>
      <c r="B327" s="11"/>
      <c r="C327" s="63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62"/>
      <c r="B328" s="11"/>
      <c r="C328" s="63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62"/>
      <c r="B329" s="11"/>
      <c r="C329" s="63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62"/>
      <c r="B330" s="11"/>
      <c r="C330" s="63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62"/>
      <c r="B331" s="11"/>
      <c r="C331" s="63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62"/>
      <c r="B332" s="11"/>
      <c r="C332" s="63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62"/>
      <c r="B333" s="11"/>
      <c r="C333" s="63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62"/>
      <c r="B334" s="11"/>
      <c r="C334" s="63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62"/>
      <c r="B335" s="11"/>
      <c r="C335" s="63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62"/>
      <c r="B336" s="11"/>
      <c r="C336" s="63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62"/>
      <c r="B337" s="11"/>
      <c r="C337" s="63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62"/>
      <c r="B338" s="11"/>
      <c r="C338" s="63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62"/>
      <c r="B339" s="11"/>
      <c r="C339" s="63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62"/>
      <c r="B340" s="11"/>
      <c r="C340" s="63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62"/>
      <c r="B341" s="11"/>
      <c r="C341" s="63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62"/>
      <c r="B342" s="11"/>
      <c r="C342" s="63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62"/>
      <c r="B343" s="11"/>
      <c r="C343" s="63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62"/>
      <c r="B344" s="11"/>
      <c r="C344" s="63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62"/>
      <c r="B345" s="11"/>
      <c r="C345" s="63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62"/>
      <c r="B346" s="11"/>
      <c r="C346" s="63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62"/>
      <c r="B347" s="11"/>
      <c r="C347" s="63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62"/>
      <c r="B348" s="11"/>
      <c r="C348" s="63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62"/>
      <c r="B349" s="11"/>
      <c r="C349" s="63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62"/>
      <c r="B350" s="11"/>
      <c r="C350" s="63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62"/>
      <c r="B351" s="11"/>
      <c r="C351" s="63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62"/>
      <c r="B352" s="11"/>
      <c r="C352" s="63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62"/>
      <c r="B353" s="11"/>
      <c r="C353" s="63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62"/>
      <c r="B354" s="11"/>
      <c r="C354" s="63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62"/>
      <c r="B355" s="11"/>
      <c r="C355" s="63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62"/>
      <c r="B356" s="11"/>
      <c r="C356" s="63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62"/>
      <c r="B357" s="11"/>
      <c r="C357" s="63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62"/>
      <c r="B358" s="11"/>
      <c r="C358" s="63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62"/>
      <c r="B359" s="11"/>
      <c r="C359" s="63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62"/>
      <c r="B360" s="11"/>
      <c r="C360" s="63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62"/>
      <c r="B361" s="11"/>
      <c r="C361" s="63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62"/>
      <c r="B362" s="11"/>
      <c r="C362" s="63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62"/>
      <c r="B363" s="11"/>
      <c r="C363" s="63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62"/>
      <c r="B364" s="11"/>
      <c r="C364" s="63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62"/>
      <c r="B365" s="11"/>
      <c r="C365" s="63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62"/>
      <c r="B366" s="11"/>
      <c r="C366" s="63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62"/>
      <c r="B367" s="11"/>
      <c r="C367" s="63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62"/>
      <c r="B368" s="11"/>
      <c r="C368" s="63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62"/>
      <c r="B369" s="11"/>
      <c r="C369" s="63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62"/>
      <c r="B370" s="11"/>
      <c r="C370" s="63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62"/>
      <c r="B371" s="11"/>
      <c r="C371" s="63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62"/>
      <c r="B372" s="11"/>
      <c r="C372" s="63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62"/>
      <c r="B373" s="11"/>
      <c r="C373" s="63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62"/>
      <c r="B374" s="11"/>
      <c r="C374" s="63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62"/>
      <c r="B375" s="11"/>
      <c r="C375" s="63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62"/>
      <c r="B376" s="11"/>
      <c r="C376" s="63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62"/>
      <c r="B377" s="11"/>
      <c r="C377" s="63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62"/>
      <c r="B378" s="11"/>
      <c r="C378" s="63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62"/>
      <c r="B379" s="11"/>
      <c r="C379" s="63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62"/>
      <c r="B380" s="11"/>
      <c r="C380" s="63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62"/>
      <c r="B381" s="11"/>
      <c r="C381" s="63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62"/>
      <c r="B382" s="11"/>
      <c r="C382" s="63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62"/>
      <c r="B383" s="11"/>
      <c r="C383" s="63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62"/>
      <c r="B384" s="11"/>
      <c r="C384" s="63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62"/>
      <c r="B385" s="11"/>
      <c r="C385" s="63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62"/>
      <c r="B386" s="11"/>
      <c r="C386" s="63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62"/>
      <c r="B387" s="11"/>
      <c r="C387" s="63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62"/>
      <c r="B388" s="11"/>
      <c r="C388" s="63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62"/>
      <c r="B389" s="11"/>
      <c r="C389" s="63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62"/>
      <c r="B390" s="11"/>
      <c r="C390" s="63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62"/>
      <c r="B391" s="11"/>
      <c r="C391" s="63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62"/>
      <c r="B392" s="11"/>
      <c r="C392" s="63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62"/>
      <c r="B393" s="11"/>
      <c r="C393" s="63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62"/>
      <c r="B394" s="11"/>
      <c r="C394" s="63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62"/>
      <c r="B395" s="11"/>
      <c r="C395" s="63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62"/>
      <c r="B396" s="11"/>
      <c r="C396" s="63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62"/>
      <c r="B397" s="11"/>
      <c r="C397" s="63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62"/>
      <c r="B398" s="11"/>
      <c r="C398" s="63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62"/>
      <c r="B399" s="11"/>
      <c r="C399" s="63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62"/>
      <c r="B400" s="11"/>
      <c r="C400" s="63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62"/>
      <c r="B401" s="11"/>
      <c r="C401" s="63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62"/>
      <c r="B402" s="11"/>
      <c r="C402" s="63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62"/>
      <c r="B403" s="11"/>
      <c r="C403" s="63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62"/>
      <c r="B404" s="11"/>
      <c r="C404" s="63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62"/>
      <c r="B405" s="11"/>
      <c r="C405" s="63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62"/>
      <c r="B406" s="11"/>
      <c r="C406" s="63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62"/>
      <c r="B407" s="11"/>
      <c r="C407" s="63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62"/>
      <c r="B408" s="11"/>
      <c r="C408" s="63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62"/>
      <c r="B409" s="11"/>
      <c r="C409" s="63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62"/>
      <c r="B410" s="11"/>
      <c r="C410" s="63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62"/>
      <c r="B411" s="11"/>
      <c r="C411" s="63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62"/>
      <c r="B412" s="11"/>
      <c r="C412" s="63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62"/>
      <c r="B413" s="11"/>
      <c r="C413" s="63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62"/>
      <c r="B414" s="11"/>
      <c r="C414" s="63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62"/>
      <c r="B415" s="11"/>
      <c r="C415" s="63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62"/>
      <c r="B416" s="11"/>
      <c r="C416" s="63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62"/>
      <c r="B417" s="11"/>
      <c r="C417" s="63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62"/>
      <c r="B418" s="11"/>
      <c r="C418" s="63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62"/>
      <c r="B419" s="11"/>
      <c r="C419" s="63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62"/>
      <c r="B420" s="11"/>
      <c r="C420" s="63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62"/>
      <c r="B421" s="11"/>
      <c r="C421" s="63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62"/>
      <c r="B422" s="11"/>
      <c r="C422" s="63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62"/>
      <c r="B423" s="11"/>
      <c r="C423" s="63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62"/>
      <c r="B424" s="11"/>
      <c r="C424" s="63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62"/>
      <c r="B425" s="11"/>
      <c r="C425" s="63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62"/>
      <c r="B426" s="11"/>
      <c r="C426" s="63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62"/>
      <c r="B427" s="11"/>
      <c r="C427" s="63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62"/>
      <c r="B428" s="11"/>
      <c r="C428" s="63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62"/>
      <c r="B429" s="11"/>
      <c r="C429" s="63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62"/>
      <c r="B430" s="11"/>
      <c r="C430" s="63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62"/>
      <c r="B431" s="11"/>
      <c r="C431" s="63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62"/>
      <c r="B432" s="11"/>
      <c r="C432" s="63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62"/>
      <c r="B433" s="11"/>
      <c r="C433" s="63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62"/>
      <c r="B434" s="11"/>
      <c r="C434" s="63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62"/>
      <c r="B435" s="11"/>
      <c r="C435" s="63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62"/>
      <c r="B436" s="11"/>
      <c r="C436" s="63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62"/>
      <c r="B437" s="11"/>
      <c r="C437" s="63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62"/>
      <c r="B438" s="11"/>
      <c r="C438" s="63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62"/>
      <c r="B439" s="11"/>
      <c r="C439" s="63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62"/>
      <c r="B440" s="11"/>
      <c r="C440" s="63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62"/>
      <c r="B441" s="11"/>
      <c r="C441" s="63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62"/>
      <c r="B442" s="11"/>
      <c r="C442" s="63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62"/>
      <c r="B443" s="11"/>
      <c r="C443" s="63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62"/>
      <c r="B444" s="11"/>
      <c r="C444" s="63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62"/>
      <c r="B445" s="11"/>
      <c r="C445" s="63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62"/>
      <c r="B446" s="11"/>
      <c r="C446" s="63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62"/>
      <c r="B447" s="11"/>
      <c r="C447" s="63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62"/>
      <c r="B448" s="11"/>
      <c r="C448" s="63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62"/>
      <c r="B449" s="11"/>
      <c r="C449" s="63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62"/>
      <c r="B450" s="11"/>
      <c r="C450" s="63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62"/>
      <c r="B451" s="11"/>
      <c r="C451" s="63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62"/>
      <c r="B452" s="11"/>
      <c r="C452" s="63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62"/>
      <c r="B453" s="11"/>
      <c r="C453" s="63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62"/>
      <c r="B454" s="11"/>
      <c r="C454" s="63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62"/>
      <c r="B455" s="11"/>
      <c r="C455" s="63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62"/>
      <c r="B456" s="11"/>
      <c r="C456" s="63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62"/>
      <c r="B457" s="11"/>
      <c r="C457" s="63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62"/>
      <c r="B458" s="11"/>
      <c r="C458" s="63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62"/>
      <c r="B459" s="11"/>
      <c r="C459" s="63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62"/>
      <c r="B460" s="11"/>
      <c r="C460" s="63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62"/>
      <c r="B461" s="11"/>
      <c r="C461" s="63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62"/>
      <c r="B462" s="11"/>
      <c r="C462" s="63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62"/>
      <c r="B463" s="11"/>
      <c r="C463" s="63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62"/>
      <c r="B464" s="11"/>
      <c r="C464" s="63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62"/>
      <c r="B465" s="11"/>
      <c r="C465" s="63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62"/>
      <c r="B466" s="11"/>
      <c r="C466" s="63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62"/>
      <c r="B467" s="11"/>
      <c r="C467" s="63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62"/>
      <c r="B468" s="11"/>
      <c r="C468" s="63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62"/>
      <c r="B469" s="11"/>
      <c r="C469" s="63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62"/>
      <c r="B470" s="11"/>
      <c r="C470" s="63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62"/>
      <c r="B471" s="11"/>
      <c r="C471" s="63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62"/>
      <c r="B472" s="11"/>
      <c r="C472" s="63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62"/>
      <c r="B473" s="11"/>
      <c r="C473" s="63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62"/>
      <c r="B474" s="11"/>
      <c r="C474" s="63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62"/>
      <c r="B475" s="11"/>
      <c r="C475" s="63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62"/>
      <c r="B476" s="11"/>
      <c r="C476" s="63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62"/>
      <c r="B477" s="11"/>
      <c r="C477" s="63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62"/>
      <c r="B478" s="11"/>
      <c r="C478" s="63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62"/>
      <c r="B479" s="11"/>
      <c r="C479" s="63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62"/>
      <c r="B480" s="11"/>
      <c r="C480" s="63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62"/>
      <c r="B481" s="11"/>
      <c r="C481" s="63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62"/>
      <c r="B482" s="11"/>
      <c r="C482" s="63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62"/>
      <c r="B483" s="11"/>
      <c r="C483" s="63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62"/>
      <c r="B484" s="11"/>
      <c r="C484" s="63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62"/>
      <c r="B485" s="11"/>
      <c r="C485" s="63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62"/>
      <c r="B486" s="11"/>
      <c r="C486" s="63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62"/>
      <c r="B487" s="11"/>
      <c r="C487" s="63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62"/>
      <c r="B488" s="11"/>
      <c r="C488" s="63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62"/>
      <c r="B489" s="11"/>
      <c r="C489" s="63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62"/>
      <c r="B490" s="11"/>
      <c r="C490" s="63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62"/>
      <c r="B491" s="11"/>
      <c r="C491" s="63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62"/>
      <c r="B492" s="11"/>
      <c r="C492" s="63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62"/>
      <c r="B493" s="11"/>
      <c r="C493" s="63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62"/>
      <c r="B494" s="11"/>
      <c r="C494" s="63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62"/>
      <c r="B495" s="11"/>
      <c r="C495" s="63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62"/>
      <c r="B496" s="11"/>
      <c r="C496" s="63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62"/>
      <c r="B497" s="11"/>
      <c r="C497" s="63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62"/>
      <c r="B498" s="11"/>
      <c r="C498" s="63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62"/>
      <c r="B499" s="11"/>
      <c r="C499" s="63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62"/>
      <c r="B500" s="11"/>
      <c r="C500" s="63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62"/>
      <c r="B501" s="11"/>
      <c r="C501" s="63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62"/>
      <c r="B502" s="11"/>
      <c r="C502" s="63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62"/>
      <c r="B503" s="11"/>
      <c r="C503" s="63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62"/>
      <c r="B504" s="11"/>
      <c r="C504" s="63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62"/>
      <c r="B505" s="11"/>
      <c r="C505" s="63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62"/>
      <c r="B506" s="11"/>
      <c r="C506" s="63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62"/>
      <c r="B507" s="11"/>
      <c r="C507" s="63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62"/>
      <c r="B508" s="11"/>
      <c r="C508" s="63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62"/>
      <c r="B509" s="11"/>
      <c r="C509" s="63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62"/>
      <c r="B510" s="11"/>
      <c r="C510" s="63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62"/>
      <c r="B511" s="11"/>
      <c r="C511" s="63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62"/>
      <c r="B512" s="11"/>
      <c r="C512" s="63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62"/>
      <c r="B513" s="11"/>
      <c r="C513" s="63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62"/>
      <c r="B514" s="11"/>
      <c r="C514" s="63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62"/>
      <c r="B515" s="11"/>
      <c r="C515" s="63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62"/>
      <c r="B516" s="11"/>
      <c r="C516" s="63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62"/>
      <c r="B517" s="11"/>
      <c r="C517" s="63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62"/>
      <c r="B518" s="11"/>
      <c r="C518" s="63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62"/>
      <c r="B519" s="11"/>
      <c r="C519" s="63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62"/>
      <c r="B520" s="11"/>
      <c r="C520" s="63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62"/>
      <c r="B521" s="11"/>
      <c r="C521" s="63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62"/>
      <c r="B522" s="11"/>
      <c r="C522" s="63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62"/>
      <c r="B523" s="11"/>
      <c r="C523" s="63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62"/>
      <c r="B524" s="11"/>
      <c r="C524" s="63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62"/>
      <c r="B525" s="11"/>
      <c r="C525" s="63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62"/>
      <c r="B526" s="11"/>
      <c r="C526" s="63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62"/>
      <c r="B527" s="11"/>
      <c r="C527" s="63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62"/>
      <c r="B528" s="11"/>
      <c r="C528" s="63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62"/>
      <c r="B529" s="11"/>
      <c r="C529" s="63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62"/>
      <c r="B530" s="11"/>
      <c r="C530" s="63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62"/>
      <c r="B531" s="11"/>
      <c r="C531" s="63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62"/>
      <c r="B532" s="11"/>
      <c r="C532" s="63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62"/>
      <c r="B533" s="11"/>
      <c r="C533" s="63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62"/>
      <c r="B534" s="11"/>
      <c r="C534" s="63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62"/>
      <c r="B535" s="11"/>
      <c r="C535" s="63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62"/>
      <c r="B536" s="11"/>
      <c r="C536" s="63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62"/>
      <c r="B537" s="11"/>
      <c r="C537" s="63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62"/>
      <c r="B538" s="11"/>
      <c r="C538" s="63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62"/>
      <c r="B539" s="11"/>
      <c r="C539" s="63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62"/>
      <c r="B540" s="11"/>
      <c r="C540" s="63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62"/>
      <c r="B541" s="11"/>
      <c r="C541" s="63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62"/>
      <c r="B542" s="11"/>
      <c r="C542" s="63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62"/>
      <c r="B543" s="11"/>
      <c r="C543" s="63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62"/>
      <c r="B544" s="11"/>
      <c r="C544" s="63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62"/>
      <c r="B545" s="11"/>
      <c r="C545" s="63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62"/>
      <c r="B546" s="11"/>
      <c r="C546" s="63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62"/>
      <c r="B547" s="11"/>
      <c r="C547" s="63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62"/>
      <c r="B548" s="11"/>
      <c r="C548" s="63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62"/>
      <c r="B549" s="11"/>
      <c r="C549" s="63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62"/>
      <c r="B550" s="11"/>
      <c r="C550" s="63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62"/>
      <c r="B551" s="11"/>
      <c r="C551" s="63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62"/>
      <c r="B552" s="11"/>
      <c r="C552" s="63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62"/>
      <c r="B553" s="11"/>
      <c r="C553" s="63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62"/>
      <c r="B554" s="11"/>
      <c r="C554" s="63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62"/>
      <c r="B555" s="11"/>
      <c r="C555" s="63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62"/>
      <c r="B556" s="11"/>
      <c r="C556" s="63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62"/>
      <c r="B557" s="11"/>
      <c r="C557" s="63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62"/>
      <c r="B558" s="11"/>
      <c r="C558" s="63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62"/>
      <c r="B559" s="11"/>
      <c r="C559" s="63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62"/>
      <c r="B560" s="11"/>
      <c r="C560" s="63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62"/>
      <c r="B561" s="11"/>
      <c r="C561" s="63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62"/>
      <c r="B562" s="11"/>
      <c r="C562" s="63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62"/>
      <c r="B563" s="11"/>
      <c r="C563" s="63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62"/>
      <c r="B564" s="11"/>
      <c r="C564" s="63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62"/>
      <c r="B565" s="11"/>
      <c r="C565" s="63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62"/>
      <c r="B566" s="11"/>
      <c r="C566" s="63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62"/>
      <c r="B567" s="11"/>
      <c r="C567" s="63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62"/>
      <c r="B568" s="11"/>
      <c r="C568" s="63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62"/>
      <c r="B569" s="11"/>
      <c r="C569" s="63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62"/>
      <c r="B570" s="11"/>
      <c r="C570" s="63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62"/>
      <c r="B571" s="11"/>
      <c r="C571" s="63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62"/>
      <c r="B572" s="11"/>
      <c r="C572" s="63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62"/>
      <c r="B573" s="11"/>
      <c r="C573" s="63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62"/>
      <c r="B574" s="11"/>
      <c r="C574" s="63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62"/>
      <c r="B575" s="11"/>
      <c r="C575" s="63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62"/>
      <c r="B576" s="11"/>
      <c r="C576" s="63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62"/>
      <c r="B577" s="11"/>
      <c r="C577" s="63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62"/>
      <c r="B578" s="11"/>
      <c r="C578" s="63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62"/>
      <c r="B579" s="11"/>
      <c r="C579" s="63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62"/>
      <c r="B580" s="11"/>
      <c r="C580" s="63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62"/>
      <c r="B581" s="11"/>
      <c r="C581" s="63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62"/>
      <c r="B582" s="11"/>
      <c r="C582" s="63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62"/>
      <c r="B583" s="11"/>
      <c r="C583" s="63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62"/>
      <c r="B584" s="11"/>
      <c r="C584" s="63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62"/>
      <c r="B585" s="11"/>
      <c r="C585" s="63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62"/>
      <c r="B586" s="11"/>
      <c r="C586" s="63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62"/>
      <c r="B587" s="11"/>
      <c r="C587" s="63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62"/>
      <c r="B588" s="11"/>
      <c r="C588" s="63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62"/>
      <c r="B589" s="11"/>
      <c r="C589" s="63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62"/>
      <c r="B590" s="11"/>
      <c r="C590" s="63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62"/>
      <c r="B591" s="11"/>
      <c r="C591" s="63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62"/>
      <c r="B592" s="11"/>
      <c r="C592" s="63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62"/>
      <c r="B593" s="11"/>
      <c r="C593" s="63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62"/>
      <c r="B594" s="11"/>
      <c r="C594" s="63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62"/>
      <c r="B595" s="11"/>
      <c r="C595" s="63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62"/>
      <c r="B596" s="11"/>
      <c r="C596" s="63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62"/>
      <c r="B597" s="11"/>
      <c r="C597" s="63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62"/>
      <c r="B598" s="11"/>
      <c r="C598" s="63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62"/>
      <c r="B599" s="11"/>
      <c r="C599" s="63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62"/>
      <c r="B600" s="11"/>
      <c r="C600" s="63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62"/>
      <c r="B601" s="11"/>
      <c r="C601" s="63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62"/>
      <c r="B602" s="11"/>
      <c r="C602" s="63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62"/>
      <c r="B603" s="11"/>
      <c r="C603" s="63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62"/>
      <c r="B604" s="11"/>
      <c r="C604" s="63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62"/>
      <c r="B605" s="11"/>
      <c r="C605" s="63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62"/>
      <c r="B606" s="11"/>
      <c r="C606" s="63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62"/>
      <c r="B607" s="11"/>
      <c r="C607" s="63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62"/>
      <c r="B608" s="11"/>
      <c r="C608" s="63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62"/>
      <c r="B609" s="11"/>
      <c r="C609" s="63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62"/>
      <c r="B610" s="11"/>
      <c r="C610" s="63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62"/>
      <c r="B611" s="11"/>
      <c r="C611" s="63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62"/>
      <c r="B612" s="11"/>
      <c r="C612" s="63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62"/>
      <c r="B613" s="11"/>
      <c r="C613" s="63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62"/>
      <c r="B614" s="11"/>
      <c r="C614" s="63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62"/>
      <c r="B615" s="11"/>
      <c r="C615" s="63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62"/>
      <c r="B616" s="11"/>
      <c r="C616" s="63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62"/>
      <c r="B617" s="11"/>
      <c r="C617" s="63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62"/>
      <c r="B618" s="11"/>
      <c r="C618" s="63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62"/>
      <c r="B619" s="11"/>
      <c r="C619" s="63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62"/>
      <c r="B620" s="11"/>
      <c r="C620" s="63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62"/>
      <c r="B621" s="11"/>
      <c r="C621" s="63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62"/>
      <c r="B622" s="11"/>
      <c r="C622" s="63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62"/>
      <c r="B623" s="11"/>
      <c r="C623" s="63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62"/>
      <c r="B624" s="11"/>
      <c r="C624" s="63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62"/>
      <c r="B625" s="11"/>
      <c r="C625" s="63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62"/>
      <c r="B626" s="11"/>
      <c r="C626" s="63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62"/>
      <c r="B627" s="11"/>
      <c r="C627" s="63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62"/>
      <c r="B628" s="11"/>
      <c r="C628" s="63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62"/>
      <c r="B629" s="11"/>
      <c r="C629" s="63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62"/>
      <c r="B630" s="11"/>
      <c r="C630" s="63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62"/>
      <c r="B631" s="11"/>
      <c r="C631" s="63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62"/>
      <c r="B632" s="11"/>
      <c r="C632" s="63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62"/>
      <c r="B633" s="11"/>
      <c r="C633" s="63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62"/>
      <c r="B634" s="11"/>
      <c r="C634" s="63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62"/>
      <c r="B635" s="11"/>
      <c r="C635" s="63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62"/>
      <c r="B636" s="11"/>
      <c r="C636" s="63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62"/>
      <c r="B637" s="11"/>
      <c r="C637" s="63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62"/>
      <c r="B638" s="11"/>
      <c r="C638" s="63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62"/>
      <c r="B639" s="11"/>
      <c r="C639" s="63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62"/>
      <c r="B640" s="11"/>
      <c r="C640" s="63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62"/>
      <c r="B641" s="11"/>
      <c r="C641" s="63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62"/>
      <c r="B642" s="11"/>
      <c r="C642" s="63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62"/>
      <c r="B643" s="11"/>
      <c r="C643" s="63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62"/>
      <c r="B644" s="11"/>
      <c r="C644" s="63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62"/>
      <c r="B645" s="11"/>
      <c r="C645" s="63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62"/>
      <c r="B646" s="11"/>
      <c r="C646" s="63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62"/>
      <c r="B647" s="11"/>
      <c r="C647" s="63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62"/>
      <c r="B648" s="11"/>
      <c r="C648" s="63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62"/>
      <c r="B649" s="11"/>
      <c r="C649" s="63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62"/>
      <c r="B650" s="11"/>
      <c r="C650" s="63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62"/>
      <c r="B651" s="11"/>
      <c r="C651" s="63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62"/>
      <c r="B652" s="11"/>
      <c r="C652" s="63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62"/>
      <c r="B653" s="11"/>
      <c r="C653" s="63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62"/>
      <c r="B654" s="11"/>
      <c r="C654" s="63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62"/>
      <c r="B655" s="11"/>
      <c r="C655" s="63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62"/>
      <c r="B656" s="11"/>
      <c r="C656" s="63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62"/>
      <c r="B657" s="11"/>
      <c r="C657" s="63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62"/>
      <c r="B658" s="11"/>
      <c r="C658" s="63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62"/>
      <c r="B659" s="11"/>
      <c r="C659" s="63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62"/>
      <c r="B660" s="11"/>
      <c r="C660" s="63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62"/>
      <c r="B661" s="11"/>
      <c r="C661" s="63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62"/>
      <c r="B662" s="11"/>
      <c r="C662" s="63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62"/>
      <c r="B663" s="11"/>
      <c r="C663" s="63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62"/>
      <c r="B664" s="11"/>
      <c r="C664" s="63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62"/>
      <c r="B665" s="11"/>
      <c r="C665" s="63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62"/>
      <c r="B666" s="11"/>
      <c r="C666" s="63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62"/>
      <c r="B667" s="11"/>
      <c r="C667" s="63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62"/>
      <c r="B668" s="11"/>
      <c r="C668" s="63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62"/>
      <c r="B669" s="11"/>
      <c r="C669" s="63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62"/>
      <c r="B670" s="11"/>
      <c r="C670" s="63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62"/>
      <c r="B671" s="11"/>
      <c r="C671" s="63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62"/>
      <c r="B672" s="11"/>
      <c r="C672" s="63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62"/>
      <c r="B673" s="11"/>
      <c r="C673" s="63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62"/>
      <c r="B674" s="11"/>
      <c r="C674" s="63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62"/>
      <c r="B675" s="11"/>
      <c r="C675" s="63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62"/>
      <c r="B676" s="11"/>
      <c r="C676" s="63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62"/>
      <c r="B677" s="11"/>
      <c r="C677" s="63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62"/>
      <c r="B678" s="11"/>
      <c r="C678" s="63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62"/>
      <c r="B679" s="11"/>
      <c r="C679" s="63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62"/>
      <c r="B680" s="11"/>
      <c r="C680" s="63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62"/>
      <c r="B681" s="11"/>
      <c r="C681" s="63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62"/>
      <c r="B682" s="11"/>
      <c r="C682" s="63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62"/>
      <c r="B683" s="11"/>
      <c r="C683" s="63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62"/>
      <c r="B684" s="11"/>
      <c r="C684" s="63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62"/>
      <c r="B685" s="11"/>
      <c r="C685" s="63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62"/>
      <c r="B686" s="11"/>
      <c r="C686" s="63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62"/>
      <c r="B687" s="11"/>
      <c r="C687" s="63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62"/>
      <c r="B688" s="11"/>
      <c r="C688" s="63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62"/>
      <c r="B689" s="11"/>
      <c r="C689" s="63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62"/>
      <c r="B690" s="11"/>
      <c r="C690" s="63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62"/>
      <c r="B691" s="11"/>
      <c r="C691" s="63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62"/>
      <c r="B692" s="11"/>
      <c r="C692" s="63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62"/>
      <c r="B693" s="11"/>
      <c r="C693" s="63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62"/>
      <c r="B694" s="11"/>
      <c r="C694" s="63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62"/>
      <c r="B695" s="11"/>
      <c r="C695" s="63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62"/>
      <c r="B696" s="11"/>
      <c r="C696" s="63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62"/>
      <c r="B697" s="11"/>
      <c r="C697" s="63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62"/>
      <c r="B698" s="11"/>
      <c r="C698" s="63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62"/>
      <c r="B699" s="11"/>
      <c r="C699" s="63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62"/>
      <c r="B700" s="11"/>
      <c r="C700" s="63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62"/>
      <c r="B701" s="11"/>
      <c r="C701" s="63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62"/>
      <c r="B702" s="11"/>
      <c r="C702" s="63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62"/>
      <c r="B703" s="11"/>
      <c r="C703" s="63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62"/>
      <c r="B704" s="11"/>
      <c r="C704" s="63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62"/>
      <c r="B705" s="11"/>
      <c r="C705" s="63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62"/>
      <c r="B706" s="11"/>
      <c r="C706" s="63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62"/>
      <c r="B707" s="11"/>
      <c r="C707" s="63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62"/>
      <c r="B708" s="11"/>
      <c r="C708" s="63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62"/>
      <c r="B709" s="11"/>
      <c r="C709" s="63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62"/>
      <c r="B710" s="11"/>
      <c r="C710" s="63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62"/>
      <c r="B711" s="11"/>
      <c r="C711" s="63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62"/>
      <c r="B712" s="11"/>
      <c r="C712" s="63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62"/>
      <c r="B713" s="11"/>
      <c r="C713" s="63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62"/>
      <c r="B714" s="11"/>
      <c r="C714" s="63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62"/>
      <c r="B715" s="11"/>
      <c r="C715" s="63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62"/>
      <c r="B716" s="11"/>
      <c r="C716" s="63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62"/>
      <c r="B717" s="11"/>
      <c r="C717" s="63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62"/>
      <c r="B718" s="11"/>
      <c r="C718" s="63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62"/>
      <c r="B719" s="11"/>
      <c r="C719" s="63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62"/>
      <c r="B720" s="11"/>
      <c r="C720" s="63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62"/>
      <c r="B721" s="11"/>
      <c r="C721" s="63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62"/>
      <c r="B722" s="11"/>
      <c r="C722" s="63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62"/>
      <c r="B723" s="11"/>
      <c r="C723" s="63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62"/>
      <c r="B724" s="11"/>
      <c r="C724" s="63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62"/>
      <c r="B725" s="11"/>
      <c r="C725" s="63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62"/>
      <c r="B726" s="11"/>
      <c r="C726" s="63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62"/>
      <c r="B727" s="11"/>
      <c r="C727" s="63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62"/>
      <c r="B728" s="11"/>
      <c r="C728" s="63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62"/>
      <c r="B729" s="11"/>
      <c r="C729" s="63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62"/>
      <c r="B730" s="11"/>
      <c r="C730" s="63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62"/>
      <c r="B731" s="11"/>
      <c r="C731" s="63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62"/>
      <c r="B732" s="11"/>
      <c r="C732" s="63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62"/>
      <c r="B733" s="11"/>
      <c r="C733" s="63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62"/>
      <c r="B734" s="11"/>
      <c r="C734" s="63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62"/>
      <c r="B735" s="11"/>
      <c r="C735" s="63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62"/>
      <c r="B736" s="11"/>
      <c r="C736" s="63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62"/>
      <c r="B737" s="11"/>
      <c r="C737" s="63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62"/>
      <c r="B738" s="11"/>
      <c r="C738" s="63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62"/>
      <c r="B739" s="11"/>
      <c r="C739" s="63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62"/>
      <c r="B740" s="11"/>
      <c r="C740" s="63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62"/>
      <c r="B741" s="11"/>
      <c r="C741" s="63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62"/>
      <c r="B742" s="11"/>
      <c r="C742" s="63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62"/>
      <c r="B743" s="11"/>
      <c r="C743" s="63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62"/>
      <c r="B744" s="11"/>
      <c r="C744" s="63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62"/>
      <c r="B745" s="11"/>
      <c r="C745" s="63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62"/>
      <c r="B746" s="11"/>
      <c r="C746" s="63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62"/>
      <c r="B747" s="11"/>
      <c r="C747" s="63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62"/>
      <c r="B748" s="11"/>
      <c r="C748" s="63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62"/>
      <c r="B749" s="11"/>
      <c r="C749" s="63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62"/>
      <c r="B750" s="11"/>
      <c r="C750" s="63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62"/>
      <c r="B751" s="11"/>
      <c r="C751" s="63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62"/>
      <c r="B752" s="11"/>
      <c r="C752" s="63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62"/>
      <c r="B753" s="11"/>
      <c r="C753" s="63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62"/>
      <c r="B754" s="11"/>
      <c r="C754" s="63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62"/>
      <c r="B755" s="11"/>
      <c r="C755" s="63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62"/>
      <c r="B756" s="11"/>
      <c r="C756" s="63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62"/>
      <c r="B757" s="11"/>
      <c r="C757" s="63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62"/>
      <c r="B758" s="11"/>
      <c r="C758" s="63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62"/>
      <c r="B759" s="11"/>
      <c r="C759" s="63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62"/>
      <c r="B760" s="11"/>
      <c r="C760" s="63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62"/>
      <c r="B761" s="11"/>
      <c r="C761" s="63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62"/>
      <c r="B762" s="11"/>
      <c r="C762" s="63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62"/>
      <c r="B763" s="11"/>
      <c r="C763" s="63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62"/>
      <c r="B764" s="11"/>
      <c r="C764" s="63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62"/>
      <c r="B765" s="11"/>
      <c r="C765" s="63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62"/>
      <c r="B766" s="11"/>
      <c r="C766" s="63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62"/>
      <c r="B767" s="11"/>
      <c r="C767" s="63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62"/>
      <c r="B768" s="11"/>
      <c r="C768" s="63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62"/>
      <c r="B769" s="11"/>
      <c r="C769" s="63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62"/>
      <c r="B770" s="11"/>
      <c r="C770" s="63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62"/>
      <c r="B771" s="11"/>
      <c r="C771" s="63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62"/>
      <c r="B772" s="11"/>
      <c r="C772" s="63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62"/>
      <c r="B773" s="11"/>
      <c r="C773" s="63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62"/>
      <c r="B774" s="11"/>
      <c r="C774" s="63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62"/>
      <c r="B775" s="11"/>
      <c r="C775" s="63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62"/>
      <c r="B776" s="11"/>
      <c r="C776" s="63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62"/>
      <c r="B777" s="11"/>
      <c r="C777" s="63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62"/>
      <c r="B778" s="11"/>
      <c r="C778" s="63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62"/>
      <c r="B779" s="11"/>
      <c r="C779" s="63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62"/>
      <c r="B780" s="11"/>
      <c r="C780" s="63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62"/>
      <c r="B781" s="11"/>
      <c r="C781" s="63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62"/>
      <c r="B782" s="11"/>
      <c r="C782" s="63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62"/>
      <c r="B783" s="11"/>
      <c r="C783" s="63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62"/>
      <c r="B784" s="11"/>
      <c r="C784" s="63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62"/>
      <c r="B785" s="11"/>
      <c r="C785" s="63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62"/>
      <c r="B786" s="11"/>
      <c r="C786" s="63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62"/>
      <c r="B787" s="11"/>
      <c r="C787" s="63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62"/>
      <c r="B788" s="11"/>
      <c r="C788" s="63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62"/>
      <c r="B789" s="11"/>
      <c r="C789" s="63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62"/>
      <c r="B790" s="11"/>
      <c r="C790" s="63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62"/>
      <c r="B791" s="11"/>
      <c r="C791" s="63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62"/>
      <c r="B792" s="11"/>
      <c r="C792" s="63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62"/>
      <c r="B793" s="11"/>
      <c r="C793" s="63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62"/>
      <c r="B794" s="11"/>
      <c r="C794" s="63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62"/>
      <c r="B795" s="11"/>
      <c r="C795" s="63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62"/>
      <c r="B796" s="11"/>
      <c r="C796" s="63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62"/>
      <c r="B797" s="11"/>
      <c r="C797" s="63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62"/>
      <c r="B798" s="11"/>
      <c r="C798" s="63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62"/>
      <c r="B799" s="11"/>
      <c r="C799" s="63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62"/>
      <c r="B800" s="11"/>
      <c r="C800" s="63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62"/>
      <c r="B801" s="11"/>
      <c r="C801" s="63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62"/>
      <c r="B802" s="11"/>
      <c r="C802" s="63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62"/>
      <c r="B803" s="11"/>
      <c r="C803" s="63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62"/>
      <c r="B804" s="11"/>
      <c r="C804" s="63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62"/>
      <c r="B805" s="11"/>
      <c r="C805" s="63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62"/>
      <c r="B806" s="11"/>
      <c r="C806" s="63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62"/>
      <c r="B807" s="11"/>
      <c r="C807" s="63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62"/>
      <c r="B808" s="11"/>
      <c r="C808" s="63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62"/>
      <c r="B809" s="11"/>
      <c r="C809" s="63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62"/>
      <c r="B810" s="11"/>
      <c r="C810" s="63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62"/>
      <c r="B811" s="11"/>
      <c r="C811" s="63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62"/>
      <c r="B812" s="11"/>
      <c r="C812" s="63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62"/>
      <c r="B813" s="11"/>
      <c r="C813" s="63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62"/>
      <c r="B814" s="11"/>
      <c r="C814" s="63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62"/>
      <c r="B815" s="11"/>
      <c r="C815" s="63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62"/>
      <c r="B816" s="11"/>
      <c r="C816" s="63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62"/>
      <c r="B817" s="11"/>
      <c r="C817" s="63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62"/>
      <c r="B818" s="11"/>
      <c r="C818" s="63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62"/>
      <c r="B819" s="11"/>
      <c r="C819" s="63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62"/>
      <c r="B820" s="11"/>
      <c r="C820" s="63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62"/>
      <c r="B821" s="11"/>
      <c r="C821" s="63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62"/>
      <c r="B822" s="11"/>
      <c r="C822" s="63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62"/>
      <c r="B823" s="11"/>
      <c r="C823" s="63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62"/>
      <c r="B824" s="11"/>
      <c r="C824" s="63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62"/>
      <c r="B825" s="11"/>
      <c r="C825" s="63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62"/>
      <c r="B826" s="11"/>
      <c r="C826" s="63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62"/>
      <c r="B827" s="11"/>
      <c r="C827" s="63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62"/>
      <c r="B828" s="11"/>
      <c r="C828" s="63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62"/>
      <c r="B829" s="11"/>
      <c r="C829" s="63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62"/>
      <c r="B830" s="11"/>
      <c r="C830" s="63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62"/>
      <c r="B831" s="11"/>
      <c r="C831" s="63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62"/>
      <c r="B832" s="11"/>
      <c r="C832" s="63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62"/>
      <c r="B833" s="11"/>
      <c r="C833" s="63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62"/>
      <c r="B834" s="11"/>
      <c r="C834" s="63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62"/>
      <c r="B835" s="11"/>
      <c r="C835" s="63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62"/>
      <c r="B836" s="11"/>
      <c r="C836" s="63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62"/>
      <c r="B837" s="11"/>
      <c r="C837" s="63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62"/>
      <c r="B838" s="11"/>
      <c r="C838" s="63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62"/>
      <c r="B839" s="11"/>
      <c r="C839" s="63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62"/>
      <c r="B840" s="11"/>
      <c r="C840" s="63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62"/>
      <c r="B841" s="11"/>
      <c r="C841" s="63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62"/>
      <c r="B842" s="11"/>
      <c r="C842" s="63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62"/>
      <c r="B843" s="11"/>
      <c r="C843" s="63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62"/>
      <c r="B844" s="11"/>
      <c r="C844" s="63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62"/>
      <c r="B845" s="11"/>
      <c r="C845" s="63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62"/>
      <c r="B846" s="11"/>
      <c r="C846" s="63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62"/>
      <c r="B847" s="11"/>
      <c r="C847" s="63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62"/>
      <c r="B848" s="11"/>
      <c r="C848" s="63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62"/>
      <c r="B849" s="11"/>
      <c r="C849" s="63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62"/>
      <c r="B850" s="11"/>
      <c r="C850" s="63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62"/>
      <c r="B851" s="11"/>
      <c r="C851" s="63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62"/>
      <c r="B852" s="11"/>
      <c r="C852" s="63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62"/>
      <c r="B853" s="11"/>
      <c r="C853" s="63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62"/>
      <c r="B854" s="11"/>
      <c r="C854" s="63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62"/>
      <c r="B855" s="11"/>
      <c r="C855" s="63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62"/>
      <c r="B856" s="11"/>
      <c r="C856" s="63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62"/>
      <c r="B857" s="11"/>
      <c r="C857" s="63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62"/>
      <c r="B858" s="11"/>
      <c r="C858" s="63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62"/>
      <c r="B859" s="11"/>
      <c r="C859" s="63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62"/>
      <c r="B860" s="11"/>
      <c r="C860" s="63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62"/>
      <c r="B861" s="11"/>
      <c r="C861" s="63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62"/>
      <c r="B862" s="11"/>
      <c r="C862" s="63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62"/>
      <c r="B863" s="11"/>
      <c r="C863" s="63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62"/>
      <c r="B864" s="11"/>
      <c r="C864" s="63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62"/>
      <c r="B865" s="11"/>
      <c r="C865" s="63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62"/>
      <c r="B866" s="11"/>
      <c r="C866" s="63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62"/>
      <c r="B867" s="11"/>
      <c r="C867" s="63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62"/>
      <c r="B868" s="11"/>
      <c r="C868" s="63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62"/>
      <c r="B869" s="11"/>
      <c r="C869" s="63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62"/>
      <c r="B870" s="11"/>
      <c r="C870" s="63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62"/>
      <c r="B871" s="11"/>
      <c r="C871" s="63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62"/>
      <c r="B872" s="11"/>
      <c r="C872" s="63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62"/>
      <c r="B873" s="11"/>
      <c r="C873" s="63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62"/>
      <c r="B874" s="11"/>
      <c r="C874" s="63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62"/>
      <c r="B875" s="11"/>
      <c r="C875" s="63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62"/>
      <c r="B876" s="11"/>
      <c r="C876" s="63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62"/>
      <c r="B877" s="11"/>
      <c r="C877" s="63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62"/>
      <c r="B878" s="11"/>
      <c r="C878" s="63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62"/>
      <c r="B879" s="11"/>
      <c r="C879" s="63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62"/>
      <c r="B880" s="11"/>
      <c r="C880" s="63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62"/>
      <c r="B881" s="11"/>
      <c r="C881" s="63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62"/>
      <c r="B882" s="11"/>
      <c r="C882" s="63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62"/>
      <c r="B883" s="11"/>
      <c r="C883" s="63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62"/>
      <c r="B884" s="11"/>
      <c r="C884" s="63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62"/>
      <c r="B885" s="11"/>
      <c r="C885" s="63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62"/>
      <c r="B886" s="11"/>
      <c r="C886" s="63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62"/>
      <c r="B887" s="11"/>
      <c r="C887" s="63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62"/>
      <c r="B888" s="11"/>
      <c r="C888" s="63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62"/>
      <c r="B889" s="11"/>
      <c r="C889" s="63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62"/>
      <c r="B890" s="11"/>
      <c r="C890" s="63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62"/>
      <c r="B891" s="11"/>
      <c r="C891" s="63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62"/>
      <c r="B892" s="11"/>
      <c r="C892" s="63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62"/>
      <c r="B893" s="11"/>
      <c r="C893" s="63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62"/>
      <c r="B894" s="11"/>
      <c r="C894" s="63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62"/>
      <c r="B895" s="11"/>
      <c r="C895" s="63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62"/>
      <c r="B896" s="11"/>
      <c r="C896" s="63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62"/>
      <c r="B897" s="11"/>
      <c r="C897" s="63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62"/>
      <c r="B898" s="11"/>
      <c r="C898" s="63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62"/>
      <c r="B899" s="11"/>
      <c r="C899" s="63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62"/>
      <c r="B900" s="11"/>
      <c r="C900" s="63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62"/>
      <c r="B901" s="11"/>
      <c r="C901" s="63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62"/>
      <c r="B902" s="11"/>
      <c r="C902" s="63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62"/>
      <c r="B903" s="11"/>
      <c r="C903" s="63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62"/>
      <c r="B904" s="11"/>
      <c r="C904" s="63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62"/>
      <c r="B905" s="11"/>
      <c r="C905" s="63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62"/>
      <c r="B906" s="11"/>
      <c r="C906" s="63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62"/>
      <c r="B907" s="11"/>
      <c r="C907" s="63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62"/>
      <c r="B908" s="11"/>
      <c r="C908" s="63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62"/>
      <c r="B909" s="11"/>
      <c r="C909" s="63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62"/>
      <c r="B910" s="11"/>
      <c r="C910" s="63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62"/>
      <c r="B911" s="11"/>
      <c r="C911" s="63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62"/>
      <c r="B912" s="11"/>
      <c r="C912" s="63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62"/>
      <c r="B913" s="11"/>
      <c r="C913" s="63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62"/>
      <c r="B914" s="11"/>
      <c r="C914" s="63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62"/>
      <c r="B915" s="11"/>
      <c r="C915" s="63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62"/>
      <c r="B916" s="11"/>
      <c r="C916" s="63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62"/>
      <c r="B917" s="11"/>
      <c r="C917" s="63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62"/>
      <c r="B918" s="11"/>
      <c r="C918" s="63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62"/>
      <c r="B919" s="11"/>
      <c r="C919" s="63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62"/>
      <c r="B920" s="11"/>
      <c r="C920" s="63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62"/>
      <c r="B921" s="11"/>
      <c r="C921" s="63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62"/>
      <c r="B922" s="11"/>
      <c r="C922" s="63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62"/>
      <c r="B923" s="11"/>
      <c r="C923" s="63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62"/>
      <c r="B924" s="11"/>
      <c r="C924" s="63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62"/>
      <c r="B925" s="11"/>
      <c r="C925" s="63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62"/>
      <c r="B926" s="11"/>
      <c r="C926" s="63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62"/>
      <c r="B927" s="11"/>
      <c r="C927" s="63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62"/>
      <c r="B928" s="11"/>
      <c r="C928" s="63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62"/>
      <c r="B929" s="11"/>
      <c r="C929" s="63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62"/>
      <c r="B930" s="11"/>
      <c r="C930" s="63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62"/>
      <c r="B931" s="11"/>
      <c r="C931" s="63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62"/>
      <c r="B932" s="11"/>
      <c r="C932" s="63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62"/>
      <c r="B933" s="11"/>
      <c r="C933" s="63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62"/>
      <c r="B934" s="11"/>
      <c r="C934" s="63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62"/>
      <c r="B935" s="11"/>
      <c r="C935" s="63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62"/>
      <c r="B936" s="11"/>
      <c r="C936" s="63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62"/>
      <c r="B937" s="11"/>
      <c r="C937" s="63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62"/>
      <c r="B938" s="11"/>
      <c r="C938" s="63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62"/>
      <c r="B939" s="11"/>
      <c r="C939" s="63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62"/>
      <c r="B940" s="11"/>
      <c r="C940" s="63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62"/>
      <c r="B941" s="11"/>
      <c r="C941" s="63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62"/>
      <c r="B942" s="11"/>
      <c r="C942" s="63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62"/>
      <c r="B943" s="11"/>
      <c r="C943" s="63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62"/>
      <c r="B944" s="11"/>
      <c r="C944" s="63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62"/>
      <c r="B945" s="11"/>
      <c r="C945" s="63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62"/>
      <c r="B946" s="11"/>
      <c r="C946" s="63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62"/>
      <c r="B947" s="11"/>
      <c r="C947" s="63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62"/>
      <c r="B948" s="11"/>
      <c r="C948" s="63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62"/>
      <c r="B949" s="11"/>
      <c r="C949" s="63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62"/>
      <c r="B950" s="11"/>
      <c r="C950" s="63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62"/>
      <c r="B951" s="11"/>
      <c r="C951" s="63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62"/>
      <c r="B952" s="11"/>
      <c r="C952" s="63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62"/>
      <c r="B953" s="11"/>
      <c r="C953" s="63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62"/>
      <c r="B954" s="11"/>
      <c r="C954" s="63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62"/>
      <c r="B955" s="11"/>
      <c r="C955" s="63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62"/>
      <c r="B956" s="11"/>
      <c r="C956" s="63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62"/>
      <c r="B957" s="11"/>
      <c r="C957" s="63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62"/>
      <c r="B958" s="11"/>
      <c r="C958" s="63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62"/>
      <c r="B959" s="11"/>
      <c r="C959" s="63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62"/>
      <c r="B960" s="11"/>
      <c r="C960" s="63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62"/>
      <c r="B961" s="11"/>
      <c r="C961" s="63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62"/>
      <c r="B962" s="11"/>
      <c r="C962" s="63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62"/>
      <c r="B963" s="11"/>
      <c r="C963" s="63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62"/>
      <c r="B964" s="11"/>
      <c r="C964" s="63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62"/>
      <c r="B965" s="11"/>
      <c r="C965" s="63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62"/>
      <c r="B966" s="11"/>
      <c r="C966" s="63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62"/>
      <c r="B967" s="11"/>
      <c r="C967" s="63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62"/>
      <c r="B968" s="11"/>
      <c r="C968" s="63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62"/>
      <c r="B969" s="11"/>
      <c r="C969" s="63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62"/>
      <c r="B970" s="11"/>
      <c r="C970" s="63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62"/>
      <c r="B971" s="11"/>
      <c r="C971" s="63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62"/>
      <c r="B972" s="11"/>
      <c r="C972" s="63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62"/>
      <c r="B973" s="11"/>
      <c r="C973" s="63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62"/>
      <c r="B974" s="11"/>
      <c r="C974" s="63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62"/>
      <c r="B975" s="11"/>
      <c r="C975" s="63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62"/>
      <c r="B976" s="11"/>
      <c r="C976" s="63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62"/>
      <c r="B977" s="11"/>
      <c r="C977" s="63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62"/>
      <c r="B978" s="11"/>
      <c r="C978" s="63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62"/>
      <c r="B979" s="11"/>
      <c r="C979" s="63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62"/>
      <c r="B980" s="11"/>
      <c r="C980" s="63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62"/>
      <c r="B981" s="11"/>
      <c r="C981" s="63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62"/>
      <c r="B982" s="11"/>
      <c r="C982" s="63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62"/>
      <c r="B983" s="11"/>
      <c r="C983" s="63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62"/>
      <c r="B984" s="11"/>
      <c r="C984" s="63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62"/>
      <c r="B985" s="11"/>
      <c r="C985" s="63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62"/>
      <c r="B986" s="11"/>
      <c r="C986" s="63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62"/>
      <c r="B987" s="11"/>
      <c r="C987" s="63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62"/>
      <c r="B988" s="11"/>
      <c r="C988" s="63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62"/>
      <c r="B989" s="11"/>
      <c r="C989" s="63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62"/>
      <c r="B990" s="11"/>
      <c r="C990" s="63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62"/>
      <c r="B991" s="11"/>
      <c r="C991" s="63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62"/>
      <c r="B992" s="11"/>
      <c r="C992" s="63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62"/>
      <c r="B993" s="11"/>
      <c r="C993" s="63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62"/>
      <c r="B994" s="11"/>
      <c r="C994" s="63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62"/>
      <c r="B995" s="11"/>
      <c r="C995" s="63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62"/>
      <c r="B996" s="11"/>
      <c r="C996" s="63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62"/>
      <c r="B997" s="11"/>
      <c r="C997" s="63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62"/>
      <c r="B998" s="11"/>
      <c r="C998" s="63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62"/>
      <c r="B999" s="11"/>
      <c r="C999" s="63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62"/>
      <c r="B1000" s="11"/>
      <c r="C1000" s="63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62"/>
      <c r="B1001" s="11"/>
      <c r="C1001" s="63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>
      <c r="A1002" s="62"/>
      <c r="B1002" s="11"/>
      <c r="C1002" s="63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>
      <c r="A1003" s="62"/>
      <c r="B1003" s="11"/>
      <c r="C1003" s="63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>
      <c r="A1004" s="62"/>
      <c r="B1004" s="11"/>
      <c r="C1004" s="63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>
      <c r="A1005" s="62"/>
      <c r="B1005" s="11"/>
      <c r="C1005" s="63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  <row r="1006">
      <c r="A1006" s="62"/>
      <c r="B1006" s="11"/>
      <c r="C1006" s="63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  <row r="1007">
      <c r="A1007" s="62"/>
      <c r="B1007" s="11"/>
      <c r="C1007" s="63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</row>
    <row r="1008">
      <c r="A1008" s="62"/>
      <c r="B1008" s="11"/>
      <c r="C1008" s="63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</row>
    <row r="1009">
      <c r="A1009" s="62"/>
      <c r="B1009" s="11"/>
      <c r="C1009" s="63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</row>
    <row r="1010">
      <c r="A1010" s="62"/>
      <c r="B1010" s="11"/>
      <c r="C1010" s="63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</row>
    <row r="1011">
      <c r="A1011" s="62"/>
      <c r="B1011" s="11"/>
      <c r="C1011" s="63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</row>
    <row r="1012">
      <c r="A1012" s="62"/>
      <c r="B1012" s="11"/>
      <c r="C1012" s="63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</row>
    <row r="1013">
      <c r="A1013" s="62"/>
      <c r="B1013" s="11"/>
      <c r="C1013" s="63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</row>
    <row r="1014">
      <c r="A1014" s="62"/>
      <c r="B1014" s="11"/>
      <c r="C1014" s="63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</row>
    <row r="1015">
      <c r="A1015" s="62"/>
      <c r="B1015" s="11"/>
      <c r="C1015" s="63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</row>
    <row r="1016">
      <c r="A1016" s="62"/>
      <c r="B1016" s="11"/>
      <c r="C1016" s="63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</row>
    <row r="1017">
      <c r="A1017" s="62"/>
      <c r="B1017" s="11"/>
      <c r="C1017" s="63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</row>
    <row r="1018">
      <c r="A1018" s="62"/>
      <c r="B1018" s="11"/>
      <c r="C1018" s="63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</row>
    <row r="1019">
      <c r="A1019" s="62"/>
      <c r="B1019" s="11"/>
      <c r="C1019" s="63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</row>
    <row r="1020">
      <c r="A1020" s="62"/>
      <c r="B1020" s="11"/>
      <c r="C1020" s="63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</row>
    <row r="1021">
      <c r="A1021" s="62"/>
      <c r="B1021" s="11"/>
      <c r="C1021" s="63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</row>
    <row r="1022">
      <c r="A1022" s="62"/>
      <c r="B1022" s="11"/>
      <c r="C1022" s="63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</row>
    <row r="1023">
      <c r="A1023" s="62"/>
      <c r="B1023" s="11"/>
      <c r="C1023" s="63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</row>
    <row r="1024">
      <c r="A1024" s="62"/>
      <c r="B1024" s="11"/>
      <c r="C1024" s="63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</row>
    <row r="1025">
      <c r="A1025" s="62"/>
      <c r="B1025" s="11"/>
      <c r="C1025" s="63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</row>
    <row r="1026">
      <c r="A1026" s="62"/>
      <c r="B1026" s="11"/>
      <c r="C1026" s="63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</row>
    <row r="1027">
      <c r="A1027" s="62"/>
      <c r="B1027" s="11"/>
      <c r="C1027" s="63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</row>
    <row r="1028">
      <c r="A1028" s="62"/>
      <c r="B1028" s="11"/>
      <c r="C1028" s="63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</row>
    <row r="1029">
      <c r="A1029" s="62"/>
      <c r="B1029" s="11"/>
      <c r="C1029" s="63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</row>
    <row r="1030">
      <c r="A1030" s="62"/>
      <c r="B1030" s="11"/>
      <c r="C1030" s="63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</row>
    <row r="1031">
      <c r="A1031" s="62"/>
      <c r="B1031" s="11"/>
      <c r="C1031" s="63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</row>
    <row r="1032">
      <c r="A1032" s="62"/>
      <c r="B1032" s="11"/>
      <c r="C1032" s="63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</row>
    <row r="1033">
      <c r="A1033" s="62"/>
      <c r="B1033" s="11"/>
      <c r="C1033" s="63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</row>
    <row r="1034">
      <c r="A1034" s="62"/>
      <c r="B1034" s="11"/>
      <c r="C1034" s="63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</row>
    <row r="1035">
      <c r="A1035" s="62"/>
      <c r="B1035" s="11"/>
      <c r="C1035" s="63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</row>
    <row r="1036">
      <c r="A1036" s="62"/>
      <c r="B1036" s="11"/>
      <c r="C1036" s="63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</row>
    <row r="1037">
      <c r="A1037" s="62"/>
      <c r="B1037" s="11"/>
      <c r="C1037" s="63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</row>
    <row r="1038">
      <c r="A1038" s="62"/>
      <c r="B1038" s="11"/>
      <c r="C1038" s="63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</row>
    <row r="1039">
      <c r="A1039" s="62"/>
      <c r="B1039" s="11"/>
      <c r="C1039" s="63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</row>
    <row r="1040">
      <c r="A1040" s="62"/>
      <c r="B1040" s="11"/>
      <c r="C1040" s="63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</row>
    <row r="1041">
      <c r="A1041" s="62"/>
      <c r="B1041" s="11"/>
      <c r="C1041" s="63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</row>
    <row r="1042">
      <c r="A1042" s="62"/>
      <c r="B1042" s="11"/>
      <c r="C1042" s="63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</row>
    <row r="1043">
      <c r="A1043" s="62"/>
      <c r="B1043" s="11"/>
      <c r="C1043" s="63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</row>
    <row r="1044">
      <c r="A1044" s="62"/>
      <c r="B1044" s="11"/>
      <c r="C1044" s="63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</row>
    <row r="1045">
      <c r="A1045" s="62"/>
      <c r="B1045" s="11"/>
      <c r="C1045" s="63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</row>
    <row r="1046">
      <c r="A1046" s="62"/>
      <c r="B1046" s="11"/>
      <c r="C1046" s="63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</row>
    <row r="1047">
      <c r="A1047" s="62"/>
      <c r="B1047" s="11"/>
      <c r="C1047" s="63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</row>
    <row r="1048">
      <c r="A1048" s="62"/>
      <c r="B1048" s="11"/>
      <c r="C1048" s="63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</row>
    <row r="1049">
      <c r="A1049" s="62"/>
      <c r="B1049" s="11"/>
      <c r="C1049" s="63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</row>
    <row r="1050">
      <c r="A1050" s="62"/>
      <c r="B1050" s="11"/>
      <c r="C1050" s="63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</row>
    <row r="1051">
      <c r="A1051" s="62"/>
      <c r="B1051" s="11"/>
      <c r="C1051" s="63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</row>
    <row r="1052">
      <c r="A1052" s="62"/>
      <c r="B1052" s="11"/>
      <c r="C1052" s="63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</row>
    <row r="1053">
      <c r="A1053" s="62"/>
      <c r="B1053" s="11"/>
      <c r="C1053" s="63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</row>
    <row r="1054">
      <c r="A1054" s="62"/>
      <c r="B1054" s="11"/>
      <c r="C1054" s="63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</row>
    <row r="1055">
      <c r="A1055" s="62"/>
      <c r="B1055" s="11"/>
      <c r="C1055" s="63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</row>
    <row r="1056">
      <c r="A1056" s="62"/>
      <c r="B1056" s="11"/>
      <c r="C1056" s="63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</row>
    <row r="1057">
      <c r="A1057" s="62"/>
      <c r="B1057" s="11"/>
      <c r="C1057" s="63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</row>
    <row r="1058">
      <c r="A1058" s="62"/>
      <c r="B1058" s="11"/>
      <c r="C1058" s="63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</row>
    <row r="1059">
      <c r="A1059" s="62"/>
      <c r="B1059" s="11"/>
      <c r="C1059" s="63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</row>
    <row r="1060">
      <c r="A1060" s="62"/>
      <c r="B1060" s="11"/>
      <c r="C1060" s="63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</row>
    <row r="1061">
      <c r="A1061" s="62"/>
      <c r="B1061" s="11"/>
      <c r="C1061" s="63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</row>
    <row r="1062">
      <c r="A1062" s="62"/>
      <c r="B1062" s="11"/>
      <c r="C1062" s="63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</row>
    <row r="1063">
      <c r="A1063" s="62"/>
      <c r="B1063" s="11"/>
      <c r="C1063" s="63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</row>
    <row r="1064">
      <c r="A1064" s="62"/>
      <c r="B1064" s="11"/>
      <c r="C1064" s="63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</row>
    <row r="1065">
      <c r="A1065" s="62"/>
      <c r="B1065" s="11"/>
      <c r="C1065" s="63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</row>
    <row r="1066">
      <c r="A1066" s="62"/>
      <c r="B1066" s="11"/>
      <c r="C1066" s="63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</row>
    <row r="1067">
      <c r="A1067" s="62"/>
      <c r="B1067" s="11"/>
      <c r="C1067" s="63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</row>
    <row r="1068">
      <c r="A1068" s="62"/>
      <c r="B1068" s="11"/>
      <c r="C1068" s="63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</row>
    <row r="1069">
      <c r="A1069" s="62"/>
      <c r="B1069" s="11"/>
      <c r="C1069" s="63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</row>
    <row r="1070">
      <c r="A1070" s="62"/>
      <c r="B1070" s="11"/>
      <c r="C1070" s="63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</row>
    <row r="1071">
      <c r="A1071" s="62"/>
      <c r="B1071" s="11"/>
      <c r="C1071" s="63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</row>
    <row r="1072">
      <c r="A1072" s="62"/>
      <c r="B1072" s="11"/>
      <c r="C1072" s="63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</row>
    <row r="1073">
      <c r="A1073" s="62"/>
      <c r="B1073" s="11"/>
      <c r="C1073" s="63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</row>
    <row r="1074">
      <c r="A1074" s="62"/>
      <c r="B1074" s="11"/>
      <c r="C1074" s="63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</row>
    <row r="1075">
      <c r="A1075" s="62"/>
      <c r="B1075" s="11"/>
      <c r="C1075" s="63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</row>
    <row r="1076">
      <c r="A1076" s="62"/>
      <c r="B1076" s="11"/>
      <c r="C1076" s="63"/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</row>
    <row r="1077">
      <c r="A1077" s="62"/>
      <c r="B1077" s="11"/>
      <c r="C1077" s="63"/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</row>
    <row r="1078">
      <c r="A1078" s="62"/>
      <c r="B1078" s="11"/>
      <c r="C1078" s="63"/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</row>
    <row r="1079">
      <c r="A1079" s="62"/>
      <c r="B1079" s="11"/>
      <c r="C1079" s="63"/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</row>
    <row r="1080">
      <c r="A1080" s="62"/>
      <c r="B1080" s="11"/>
      <c r="C1080" s="63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</row>
    <row r="1081">
      <c r="A1081" s="62"/>
      <c r="B1081" s="11"/>
      <c r="C1081" s="63"/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</row>
    <row r="1082">
      <c r="A1082" s="62"/>
      <c r="B1082" s="11"/>
      <c r="C1082" s="63"/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</row>
    <row r="1083">
      <c r="A1083" s="62"/>
      <c r="B1083" s="11"/>
      <c r="C1083" s="63"/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</row>
    <row r="1084">
      <c r="A1084" s="62"/>
      <c r="B1084" s="11"/>
      <c r="C1084" s="63"/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</row>
    <row r="1085">
      <c r="A1085" s="62"/>
      <c r="B1085" s="11"/>
      <c r="C1085" s="63"/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</row>
    <row r="1086">
      <c r="A1086" s="62"/>
      <c r="B1086" s="11"/>
      <c r="C1086" s="63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</row>
    <row r="1087">
      <c r="A1087" s="62"/>
      <c r="B1087" s="11"/>
      <c r="C1087" s="63"/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</row>
    <row r="1088">
      <c r="A1088" s="62"/>
      <c r="B1088" s="11"/>
      <c r="C1088" s="63"/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</row>
    <row r="1089">
      <c r="A1089" s="62"/>
      <c r="B1089" s="11"/>
      <c r="C1089" s="63"/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</row>
    <row r="1090">
      <c r="A1090" s="62"/>
      <c r="B1090" s="11"/>
      <c r="C1090" s="63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</row>
    <row r="1091">
      <c r="A1091" s="62"/>
      <c r="B1091" s="11"/>
      <c r="C1091" s="63"/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</row>
    <row r="1092">
      <c r="A1092" s="62"/>
      <c r="B1092" s="11"/>
      <c r="C1092" s="63"/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</row>
    <row r="1093">
      <c r="A1093" s="62"/>
      <c r="B1093" s="11"/>
      <c r="C1093" s="63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</row>
    <row r="1094">
      <c r="A1094" s="62"/>
      <c r="B1094" s="11"/>
      <c r="C1094" s="63"/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</row>
    <row r="1095">
      <c r="A1095" s="62"/>
      <c r="B1095" s="11"/>
      <c r="C1095" s="63"/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</row>
    <row r="1096">
      <c r="A1096" s="62"/>
      <c r="B1096" s="11"/>
      <c r="C1096" s="63"/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</row>
    <row r="1097">
      <c r="A1097" s="62"/>
      <c r="B1097" s="11"/>
      <c r="C1097" s="63"/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</row>
    <row r="1098">
      <c r="A1098" s="62"/>
      <c r="B1098" s="11"/>
      <c r="C1098" s="63"/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</row>
    <row r="1099">
      <c r="A1099" s="62"/>
      <c r="B1099" s="11"/>
      <c r="C1099" s="63"/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</row>
    <row r="1100">
      <c r="A1100" s="62"/>
      <c r="B1100" s="11"/>
      <c r="C1100" s="63"/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</row>
    <row r="1101">
      <c r="A1101" s="62"/>
      <c r="B1101" s="11"/>
      <c r="C1101" s="63"/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</row>
    <row r="1102">
      <c r="A1102" s="62"/>
      <c r="B1102" s="11"/>
      <c r="C1102" s="63"/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</row>
    <row r="1103">
      <c r="A1103" s="62"/>
      <c r="B1103" s="11"/>
      <c r="C1103" s="63"/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</row>
    <row r="1104">
      <c r="A1104" s="62"/>
      <c r="B1104" s="11"/>
      <c r="C1104" s="63"/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</row>
    <row r="1105">
      <c r="A1105" s="62"/>
      <c r="B1105" s="11"/>
      <c r="C1105" s="63"/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</row>
    <row r="1106">
      <c r="A1106" s="62"/>
      <c r="B1106" s="11"/>
      <c r="C1106" s="63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</row>
    <row r="1107">
      <c r="A1107" s="62"/>
      <c r="B1107" s="11"/>
      <c r="C1107" s="63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</row>
    <row r="1108">
      <c r="A1108" s="62"/>
      <c r="B1108" s="11"/>
      <c r="C1108" s="63"/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</row>
    <row r="1109">
      <c r="A1109" s="62"/>
      <c r="B1109" s="11"/>
      <c r="C1109" s="63"/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</row>
    <row r="1110">
      <c r="A1110" s="62"/>
      <c r="B1110" s="11"/>
      <c r="C1110" s="63"/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</row>
    <row r="1111">
      <c r="A1111" s="62"/>
      <c r="B1111" s="11"/>
      <c r="C1111" s="63"/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</row>
    <row r="1112">
      <c r="A1112" s="62"/>
      <c r="B1112" s="11"/>
      <c r="C1112" s="63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</row>
    <row r="1113">
      <c r="A1113" s="62"/>
      <c r="B1113" s="11"/>
      <c r="C1113" s="63"/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</row>
    <row r="1114">
      <c r="A1114" s="62"/>
      <c r="B1114" s="11"/>
      <c r="C1114" s="63"/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</row>
    <row r="1115">
      <c r="A1115" s="62"/>
      <c r="B1115" s="11"/>
      <c r="C1115" s="63"/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</row>
    <row r="1116">
      <c r="A1116" s="62"/>
      <c r="B1116" s="11"/>
      <c r="C1116" s="63"/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</row>
    <row r="1117">
      <c r="A1117" s="62"/>
      <c r="B1117" s="11"/>
      <c r="C1117" s="63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</row>
    <row r="1118">
      <c r="A1118" s="62"/>
      <c r="B1118" s="11"/>
      <c r="C1118" s="63"/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</row>
    <row r="1119">
      <c r="A1119" s="62"/>
      <c r="B1119" s="11"/>
      <c r="C1119" s="63"/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</row>
    <row r="1120">
      <c r="A1120" s="62"/>
      <c r="B1120" s="11"/>
      <c r="C1120" s="63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</row>
    <row r="1121">
      <c r="A1121" s="62"/>
      <c r="B1121" s="11"/>
      <c r="C1121" s="63"/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</row>
    <row r="1122">
      <c r="A1122" s="62"/>
      <c r="B1122" s="11"/>
      <c r="C1122" s="63"/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</row>
    <row r="1123">
      <c r="A1123" s="62"/>
      <c r="B1123" s="11"/>
      <c r="C1123" s="63"/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</row>
    <row r="1124">
      <c r="A1124" s="62"/>
      <c r="B1124" s="11"/>
      <c r="C1124" s="63"/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</row>
    <row r="1125">
      <c r="A1125" s="62"/>
      <c r="B1125" s="11"/>
      <c r="C1125" s="63"/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</row>
    <row r="1126">
      <c r="A1126" s="62"/>
      <c r="B1126" s="11"/>
      <c r="C1126" s="63"/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</row>
    <row r="1127">
      <c r="A1127" s="62"/>
      <c r="B1127" s="11"/>
      <c r="C1127" s="63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</row>
    <row r="1128">
      <c r="A1128" s="62"/>
      <c r="B1128" s="11"/>
      <c r="C1128" s="63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</row>
    <row r="1129">
      <c r="A1129" s="62"/>
      <c r="B1129" s="11"/>
      <c r="C1129" s="63"/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</row>
    <row r="1130">
      <c r="A1130" s="62"/>
      <c r="B1130" s="11"/>
      <c r="C1130" s="63"/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</row>
    <row r="1131">
      <c r="A1131" s="62"/>
      <c r="B1131" s="11"/>
      <c r="C1131" s="63"/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</row>
    <row r="1132">
      <c r="A1132" s="62"/>
      <c r="B1132" s="11"/>
      <c r="C1132" s="63"/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</row>
    <row r="1133">
      <c r="A1133" s="62"/>
      <c r="B1133" s="11"/>
      <c r="C1133" s="63"/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</row>
    <row r="1134">
      <c r="A1134" s="62"/>
      <c r="B1134" s="11"/>
      <c r="C1134" s="63"/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</row>
    <row r="1135">
      <c r="A1135" s="62"/>
      <c r="B1135" s="11"/>
      <c r="C1135" s="63"/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</row>
    <row r="1136">
      <c r="A1136" s="62"/>
      <c r="B1136" s="11"/>
      <c r="C1136" s="63"/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</row>
    <row r="1137">
      <c r="A1137" s="62"/>
      <c r="B1137" s="11"/>
      <c r="C1137" s="63"/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</row>
    <row r="1138">
      <c r="A1138" s="62"/>
      <c r="B1138" s="11"/>
      <c r="C1138" s="63"/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</row>
    <row r="1139">
      <c r="A1139" s="62"/>
      <c r="B1139" s="11"/>
      <c r="C1139" s="63"/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</row>
    <row r="1140">
      <c r="A1140" s="62"/>
      <c r="B1140" s="11"/>
      <c r="C1140" s="63"/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</row>
    <row r="1141">
      <c r="A1141" s="62"/>
      <c r="B1141" s="11"/>
      <c r="C1141" s="63"/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</row>
    <row r="1142">
      <c r="A1142" s="62"/>
      <c r="B1142" s="11"/>
      <c r="C1142" s="63"/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</row>
    <row r="1143">
      <c r="A1143" s="62"/>
      <c r="B1143" s="11"/>
      <c r="C1143" s="63"/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</row>
    <row r="1144">
      <c r="A1144" s="62"/>
      <c r="B1144" s="11"/>
      <c r="C1144" s="63"/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</row>
    <row r="1145">
      <c r="A1145" s="62"/>
      <c r="B1145" s="11"/>
      <c r="C1145" s="63"/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</row>
    <row r="1146">
      <c r="A1146" s="62"/>
      <c r="B1146" s="11"/>
      <c r="C1146" s="63"/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</row>
    <row r="1147">
      <c r="A1147" s="62"/>
      <c r="B1147" s="11"/>
      <c r="C1147" s="63"/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</row>
    <row r="1148">
      <c r="A1148" s="62"/>
      <c r="B1148" s="11"/>
      <c r="C1148" s="63"/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</row>
    <row r="1149">
      <c r="A1149" s="62"/>
      <c r="B1149" s="11"/>
      <c r="C1149" s="63"/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</row>
    <row r="1150">
      <c r="A1150" s="62"/>
      <c r="B1150" s="11"/>
      <c r="C1150" s="63"/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</row>
    <row r="1151">
      <c r="A1151" s="62"/>
      <c r="B1151" s="11"/>
      <c r="C1151" s="63"/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</row>
    <row r="1152">
      <c r="A1152" s="62"/>
      <c r="B1152" s="11"/>
      <c r="C1152" s="63"/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</row>
    <row r="1153">
      <c r="A1153" s="62"/>
      <c r="B1153" s="11"/>
      <c r="C1153" s="63"/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</row>
    <row r="1154">
      <c r="A1154" s="62"/>
      <c r="B1154" s="11"/>
      <c r="C1154" s="63"/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</row>
    <row r="1155">
      <c r="A1155" s="62"/>
      <c r="B1155" s="11"/>
      <c r="C1155" s="63"/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</row>
    <row r="1156">
      <c r="A1156" s="62"/>
      <c r="B1156" s="11"/>
      <c r="C1156" s="63"/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</row>
    <row r="1157">
      <c r="A1157" s="62"/>
      <c r="B1157" s="11"/>
      <c r="C1157" s="63"/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</row>
    <row r="1158">
      <c r="A1158" s="62"/>
      <c r="B1158" s="11"/>
      <c r="C1158" s="63"/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</row>
    <row r="1159">
      <c r="A1159" s="62"/>
      <c r="B1159" s="11"/>
      <c r="C1159" s="63"/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</row>
    <row r="1160">
      <c r="A1160" s="62"/>
      <c r="B1160" s="11"/>
      <c r="C1160" s="63"/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</row>
    <row r="1161">
      <c r="A1161" s="62"/>
      <c r="B1161" s="11"/>
      <c r="C1161" s="63"/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</row>
    <row r="1162">
      <c r="A1162" s="62"/>
      <c r="B1162" s="11"/>
      <c r="C1162" s="63"/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</row>
    <row r="1163">
      <c r="A1163" s="62"/>
      <c r="B1163" s="11"/>
      <c r="C1163" s="63"/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</row>
    <row r="1164">
      <c r="A1164" s="62"/>
      <c r="B1164" s="11"/>
      <c r="C1164" s="63"/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</row>
    <row r="1165">
      <c r="A1165" s="62"/>
      <c r="B1165" s="11"/>
      <c r="C1165" s="63"/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</row>
    <row r="1166">
      <c r="A1166" s="62"/>
      <c r="B1166" s="11"/>
      <c r="C1166" s="63"/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</row>
    <row r="1167">
      <c r="A1167" s="62"/>
      <c r="B1167" s="11"/>
      <c r="C1167" s="63"/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</row>
    <row r="1168">
      <c r="A1168" s="62"/>
      <c r="B1168" s="11"/>
      <c r="C1168" s="63"/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</row>
    <row r="1169">
      <c r="A1169" s="62"/>
      <c r="B1169" s="11"/>
      <c r="C1169" s="63"/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</row>
    <row r="1170">
      <c r="A1170" s="62"/>
      <c r="B1170" s="11"/>
      <c r="C1170" s="63"/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</row>
    <row r="1171">
      <c r="A1171" s="62"/>
      <c r="B1171" s="11"/>
      <c r="C1171" s="63"/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</row>
    <row r="1172">
      <c r="A1172" s="62"/>
      <c r="B1172" s="11"/>
      <c r="C1172" s="63"/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</row>
    <row r="1173">
      <c r="A1173" s="62"/>
      <c r="B1173" s="11"/>
      <c r="C1173" s="63"/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</row>
    <row r="1174">
      <c r="A1174" s="62"/>
      <c r="B1174" s="11"/>
      <c r="C1174" s="63"/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</row>
    <row r="1175">
      <c r="A1175" s="62"/>
      <c r="B1175" s="11"/>
      <c r="C1175" s="63"/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</row>
    <row r="1176">
      <c r="A1176" s="62"/>
      <c r="B1176" s="11"/>
      <c r="C1176" s="63"/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</row>
    <row r="1177">
      <c r="A1177" s="62"/>
      <c r="B1177" s="11"/>
      <c r="C1177" s="63"/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</row>
    <row r="1178">
      <c r="A1178" s="62"/>
      <c r="B1178" s="11"/>
      <c r="C1178" s="63"/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</row>
    <row r="1179">
      <c r="A1179" s="62"/>
      <c r="B1179" s="11"/>
      <c r="C1179" s="63"/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</row>
    <row r="1180">
      <c r="A1180" s="62"/>
      <c r="B1180" s="11"/>
      <c r="C1180" s="63"/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</row>
    <row r="1181">
      <c r="A1181" s="62"/>
      <c r="B1181" s="11"/>
      <c r="C1181" s="63"/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</row>
    <row r="1182">
      <c r="A1182" s="62"/>
      <c r="B1182" s="11"/>
      <c r="C1182" s="63"/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</row>
    <row r="1183">
      <c r="A1183" s="62"/>
      <c r="B1183" s="11"/>
      <c r="C1183" s="63"/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</row>
    <row r="1184">
      <c r="A1184" s="62"/>
      <c r="B1184" s="11"/>
      <c r="C1184" s="63"/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</row>
    <row r="1185">
      <c r="A1185" s="62"/>
      <c r="B1185" s="11"/>
      <c r="C1185" s="63"/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</row>
    <row r="1186">
      <c r="A1186" s="62"/>
      <c r="B1186" s="11"/>
      <c r="C1186" s="63"/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</row>
    <row r="1187">
      <c r="A1187" s="62"/>
      <c r="B1187" s="11"/>
      <c r="C1187" s="63"/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</row>
    <row r="1188">
      <c r="A1188" s="62"/>
      <c r="B1188" s="11"/>
      <c r="C1188" s="63"/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</row>
    <row r="1189">
      <c r="A1189" s="62"/>
      <c r="B1189" s="11"/>
      <c r="C1189" s="63"/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</row>
    <row r="1190">
      <c r="A1190" s="62"/>
      <c r="B1190" s="11"/>
      <c r="C1190" s="63"/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</row>
    <row r="1191">
      <c r="A1191" s="62"/>
      <c r="B1191" s="11"/>
      <c r="C1191" s="63"/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</row>
    <row r="1192">
      <c r="A1192" s="62"/>
      <c r="B1192" s="11"/>
      <c r="C1192" s="63"/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</row>
    <row r="1193">
      <c r="A1193" s="62"/>
      <c r="B1193" s="11"/>
      <c r="C1193" s="63"/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</row>
    <row r="1194">
      <c r="A1194" s="62"/>
      <c r="B1194" s="11"/>
      <c r="C1194" s="63"/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</row>
    <row r="1195">
      <c r="A1195" s="62"/>
      <c r="B1195" s="11"/>
      <c r="C1195" s="63"/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</row>
    <row r="1196">
      <c r="A1196" s="62"/>
      <c r="B1196" s="11"/>
      <c r="C1196" s="63"/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</row>
    <row r="1197">
      <c r="A1197" s="62"/>
      <c r="B1197" s="11"/>
      <c r="C1197" s="63"/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</row>
    <row r="1198">
      <c r="A1198" s="62"/>
      <c r="B1198" s="11"/>
      <c r="C1198" s="63"/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</row>
    <row r="1199">
      <c r="A1199" s="62"/>
      <c r="B1199" s="11"/>
      <c r="C1199" s="63"/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</row>
    <row r="1200">
      <c r="A1200" s="62"/>
      <c r="B1200" s="11"/>
      <c r="C1200" s="63"/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</row>
    <row r="1201">
      <c r="A1201" s="62"/>
      <c r="B1201" s="11"/>
      <c r="C1201" s="63"/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</row>
    <row r="1202">
      <c r="A1202" s="62"/>
      <c r="B1202" s="11"/>
      <c r="C1202" s="63"/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</row>
    <row r="1203">
      <c r="A1203" s="62"/>
      <c r="B1203" s="11"/>
      <c r="C1203" s="63"/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</row>
    <row r="1204">
      <c r="A1204" s="62"/>
      <c r="B1204" s="11"/>
      <c r="C1204" s="63"/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</row>
    <row r="1205">
      <c r="A1205" s="62"/>
      <c r="B1205" s="11"/>
      <c r="C1205" s="63"/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</row>
    <row r="1206">
      <c r="A1206" s="62"/>
      <c r="B1206" s="11"/>
      <c r="C1206" s="63"/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</row>
    <row r="1207">
      <c r="A1207" s="62"/>
      <c r="B1207" s="11"/>
      <c r="C1207" s="63"/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</row>
    <row r="1208">
      <c r="A1208" s="62"/>
      <c r="B1208" s="11"/>
      <c r="C1208" s="63"/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</row>
    <row r="1209">
      <c r="A1209" s="62"/>
      <c r="B1209" s="11"/>
      <c r="C1209" s="63"/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</row>
    <row r="1210">
      <c r="A1210" s="62"/>
      <c r="B1210" s="11"/>
      <c r="C1210" s="63"/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</row>
    <row r="1211">
      <c r="A1211" s="62"/>
      <c r="B1211" s="11"/>
      <c r="C1211" s="63"/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</row>
    <row r="1212">
      <c r="A1212" s="62"/>
      <c r="B1212" s="11"/>
      <c r="C1212" s="63"/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</row>
    <row r="1213">
      <c r="A1213" s="62"/>
      <c r="B1213" s="11"/>
      <c r="C1213" s="63"/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</row>
    <row r="1214">
      <c r="A1214" s="62"/>
      <c r="B1214" s="11"/>
      <c r="C1214" s="63"/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</row>
    <row r="1215">
      <c r="A1215" s="62"/>
      <c r="B1215" s="11"/>
      <c r="C1215" s="63"/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</row>
    <row r="1216">
      <c r="A1216" s="62"/>
      <c r="B1216" s="11"/>
      <c r="C1216" s="63"/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</row>
    <row r="1217">
      <c r="A1217" s="62"/>
      <c r="B1217" s="11"/>
      <c r="C1217" s="63"/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</row>
    <row r="1218">
      <c r="A1218" s="62"/>
      <c r="B1218" s="11"/>
      <c r="C1218" s="63"/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</row>
    <row r="1219">
      <c r="A1219" s="62"/>
      <c r="B1219" s="11"/>
      <c r="C1219" s="63"/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</row>
    <row r="1220">
      <c r="A1220" s="62"/>
      <c r="B1220" s="11"/>
      <c r="C1220" s="63"/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</row>
    <row r="1221">
      <c r="A1221" s="62"/>
      <c r="B1221" s="11"/>
      <c r="C1221" s="63"/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</row>
    <row r="1222">
      <c r="A1222" s="62"/>
      <c r="B1222" s="11"/>
      <c r="C1222" s="63"/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</row>
    <row r="1223">
      <c r="A1223" s="62"/>
      <c r="B1223" s="11"/>
      <c r="C1223" s="63"/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</row>
    <row r="1224">
      <c r="A1224" s="62"/>
      <c r="B1224" s="11"/>
      <c r="C1224" s="63"/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</row>
    <row r="1225">
      <c r="A1225" s="62"/>
      <c r="B1225" s="11"/>
      <c r="C1225" s="63"/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</row>
    <row r="1226">
      <c r="A1226" s="62"/>
      <c r="B1226" s="11"/>
      <c r="C1226" s="63"/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</row>
    <row r="1227">
      <c r="A1227" s="62"/>
      <c r="B1227" s="11"/>
      <c r="C1227" s="63"/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</row>
    <row r="1228">
      <c r="A1228" s="62"/>
      <c r="B1228" s="11"/>
      <c r="C1228" s="63"/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</row>
    <row r="1229">
      <c r="A1229" s="62"/>
      <c r="B1229" s="11"/>
      <c r="C1229" s="63"/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</row>
    <row r="1230">
      <c r="A1230" s="62"/>
      <c r="B1230" s="11"/>
      <c r="C1230" s="63"/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</row>
    <row r="1231">
      <c r="A1231" s="62"/>
      <c r="B1231" s="11"/>
      <c r="C1231" s="63"/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</row>
    <row r="1232">
      <c r="A1232" s="62"/>
      <c r="B1232" s="11"/>
      <c r="C1232" s="63"/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</row>
    <row r="1233">
      <c r="A1233" s="62"/>
      <c r="B1233" s="11"/>
      <c r="C1233" s="63"/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</row>
    <row r="1234">
      <c r="A1234" s="62"/>
      <c r="B1234" s="11"/>
      <c r="C1234" s="63"/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</row>
    <row r="1235">
      <c r="A1235" s="62"/>
      <c r="B1235" s="11"/>
      <c r="C1235" s="63"/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</row>
    <row r="1236">
      <c r="A1236" s="62"/>
      <c r="B1236" s="11"/>
      <c r="C1236" s="63"/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</row>
    <row r="1237">
      <c r="A1237" s="62"/>
      <c r="B1237" s="11"/>
      <c r="C1237" s="63"/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</row>
    <row r="1238">
      <c r="A1238" s="62"/>
      <c r="B1238" s="11"/>
      <c r="C1238" s="63"/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</row>
    <row r="1239">
      <c r="A1239" s="62"/>
      <c r="B1239" s="11"/>
      <c r="C1239" s="63"/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</row>
    <row r="1240">
      <c r="A1240" s="62"/>
      <c r="B1240" s="11"/>
      <c r="C1240" s="63"/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</row>
    <row r="1241">
      <c r="A1241" s="62"/>
      <c r="B1241" s="11"/>
      <c r="C1241" s="63"/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</row>
    <row r="1242">
      <c r="A1242" s="62"/>
      <c r="B1242" s="11"/>
      <c r="C1242" s="63"/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</row>
    <row r="1243">
      <c r="A1243" s="62"/>
      <c r="B1243" s="11"/>
      <c r="C1243" s="63"/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</row>
    <row r="1244">
      <c r="A1244" s="62"/>
      <c r="B1244" s="11"/>
      <c r="C1244" s="63"/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</row>
    <row r="1245">
      <c r="A1245" s="62"/>
      <c r="B1245" s="11"/>
      <c r="C1245" s="63"/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</row>
    <row r="1246">
      <c r="A1246" s="62"/>
      <c r="B1246" s="11"/>
      <c r="C1246" s="63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</row>
    <row r="1247">
      <c r="A1247" s="62"/>
      <c r="B1247" s="11"/>
      <c r="C1247" s="63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</row>
    <row r="1248">
      <c r="A1248" s="62"/>
      <c r="B1248" s="11"/>
      <c r="C1248" s="63"/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</row>
    <row r="1249">
      <c r="A1249" s="62"/>
      <c r="B1249" s="11"/>
      <c r="C1249" s="63"/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</row>
    <row r="1250">
      <c r="A1250" s="62"/>
      <c r="B1250" s="11"/>
      <c r="C1250" s="63"/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</row>
    <row r="1251">
      <c r="A1251" s="62"/>
      <c r="B1251" s="11"/>
      <c r="C1251" s="63"/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</row>
    <row r="1252">
      <c r="A1252" s="62"/>
      <c r="B1252" s="11"/>
      <c r="C1252" s="63"/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</row>
    <row r="1253">
      <c r="A1253" s="62"/>
      <c r="B1253" s="11"/>
      <c r="C1253" s="63"/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</row>
    <row r="1254">
      <c r="A1254" s="62"/>
      <c r="B1254" s="11"/>
      <c r="C1254" s="63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</row>
    <row r="1255">
      <c r="A1255" s="62"/>
      <c r="B1255" s="11"/>
      <c r="C1255" s="63"/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</row>
    <row r="1256">
      <c r="A1256" s="62"/>
      <c r="B1256" s="11"/>
      <c r="C1256" s="63"/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</row>
    <row r="1257">
      <c r="A1257" s="62"/>
      <c r="B1257" s="11"/>
      <c r="C1257" s="63"/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</row>
    <row r="1258">
      <c r="A1258" s="62"/>
      <c r="B1258" s="11"/>
      <c r="C1258" s="63"/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</row>
    <row r="1259">
      <c r="A1259" s="62"/>
      <c r="B1259" s="11"/>
      <c r="C1259" s="63"/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</row>
    <row r="1260">
      <c r="A1260" s="62"/>
      <c r="B1260" s="11"/>
      <c r="C1260" s="63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</row>
    <row r="1261">
      <c r="A1261" s="62"/>
      <c r="B1261" s="11"/>
      <c r="C1261" s="63"/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</row>
    <row r="1262">
      <c r="A1262" s="62"/>
      <c r="B1262" s="11"/>
      <c r="C1262" s="63"/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</row>
    <row r="1263">
      <c r="A1263" s="62"/>
      <c r="B1263" s="11"/>
      <c r="C1263" s="63"/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</row>
    <row r="1264">
      <c r="A1264" s="62"/>
      <c r="B1264" s="11"/>
      <c r="C1264" s="63"/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</row>
    <row r="1265">
      <c r="A1265" s="62"/>
      <c r="B1265" s="11"/>
      <c r="C1265" s="63"/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</row>
  </sheetData>
  <customSheetViews>
    <customSheetView guid="{AE52FC44-BB32-4999-8B5F-507D33A5E447}" filter="1" showAutoFilter="1">
      <autoFilter ref="$A$6:$M$317">
        <filterColumn colId="9">
          <customFilters>
            <customFilter val="Chưa test"/>
          </customFilters>
        </filterColumn>
      </autoFilter>
    </customSheetView>
    <customSheetView guid="{7C96AD7B-B429-4C5F-81E4-F3A25944FA14}" filter="1" showAutoFilter="1">
      <autoFilter ref="$A$6:$M$317">
        <filterColumn colId="9">
          <customFilters>
            <customFilter val="Pass"/>
          </customFilters>
        </filterColumn>
      </autoFilter>
    </customSheetView>
    <customSheetView guid="{5FC132C1-EA04-4508-A78A-FC2C2EEE9B8E}" filter="1" showAutoFilter="1">
      <autoFilter ref="$A$6:$M$317">
        <filterColumn colId="9">
          <customFilters>
            <customFilter val="Fail"/>
          </customFilters>
        </filterColumn>
      </autoFilter>
    </customSheetView>
    <customSheetView guid="{3E3EF816-0432-4BA0-BA60-2FF02268C72A}" filter="1" showAutoFilter="1">
      <autoFilter ref="$A$6:$M$317">
        <filterColumn colId="9">
          <customFilters>
            <customFilter val="Block"/>
          </customFilters>
        </filterColumn>
      </autoFilter>
    </customSheetView>
  </customSheetViews>
  <mergeCells count="1">
    <mergeCell ref="A1:G1"/>
  </mergeCells>
  <dataValidations>
    <dataValidation type="custom" allowBlank="1" showDropDown="1" sqref="M7:M317">
      <formula1>OR(NOT(ISERROR(DATEVALUE(M7))), AND(ISNUMBER(M7), LEFT(CELL("format", M7))="D"))</formula1>
    </dataValidation>
    <dataValidation type="list" allowBlank="1" sqref="B7:B317">
      <formula1>"Người dùng,Thợ &amp; KYC,Tìm kiếm &amp; Điều phối,Đặt lịch &amp; Đơn hàng,Phát sinh dịch vụ (OCR),Thanh toán &amp; Ví,Đánh giá &amp; Phản hồi,Khiếu nại &amp; Bảo hành,Chat Khách - Thợ,Quản trị hệ thống"</formula1>
    </dataValidation>
    <dataValidation type="list" allowBlank="1" sqref="K7:K317">
      <formula1>"Cao,Trung bình,thấp"</formula1>
    </dataValidation>
    <dataValidation type="custom" allowBlank="1" showDropDown="1" sqref="A7:A317">
      <formula1>AND(ISNUMBER(A7),(NOT(OR(NOT(ISERROR(DATEVALUE(A7))), AND(ISNUMBER(A7), LEFT(CELL("format", A7))="D")))))</formula1>
    </dataValidation>
    <dataValidation type="list" allowBlank="1" sqref="J7:J317">
      <formula1>"Chưa test,Pass,Fail,Block"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8.25"/>
    <col customWidth="1" min="2" max="2" width="16.38"/>
    <col customWidth="1" min="3" max="3" width="13.88"/>
    <col customWidth="1" min="4" max="4" width="32.63"/>
    <col customWidth="1" min="5" max="5" width="27.63"/>
    <col customWidth="1" min="6" max="6" width="32.63"/>
    <col customWidth="1" min="7" max="7" width="27.63"/>
    <col customWidth="1" min="8" max="9" width="32.63"/>
    <col customWidth="1" min="10" max="10" width="12.63"/>
    <col customWidth="1" min="11" max="11" width="14.5"/>
    <col customWidth="1" min="12" max="12" width="18.88"/>
    <col customWidth="1" min="13" max="13" width="13.88"/>
  </cols>
  <sheetData>
    <row r="1">
      <c r="A1" s="1" t="s">
        <v>0</v>
      </c>
    </row>
    <row r="3" ht="21.0" customHeight="1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4" t="s">
        <v>13</v>
      </c>
    </row>
    <row r="4">
      <c r="A4" s="5">
        <f>IFERROR(__xludf.DUMMYFUNCTION("FILTER('Danh sách Test Case'!A7:M1000, 'Danh sách Test Case'!J7:J1000=""Fail"")"),17.0)</f>
        <v>17</v>
      </c>
      <c r="B4" s="6" t="str">
        <f>IFERROR(__xludf.DUMMYFUNCTION("""COMPUTED_VALUE"""),"Người dùng")</f>
        <v>Người dùng</v>
      </c>
      <c r="C4" s="7" t="str">
        <f>IFERROR(__xludf.DUMMYFUNCTION("""COMPUTED_VALUE"""),"TC-017")</f>
        <v>TC-017</v>
      </c>
      <c r="D4" s="6" t="str">
        <f>IFERROR(__xludf.DUMMYFUNCTION("""COMPUTED_VALUE"""),"Thoát App khi đang ở màn hình OTP và quay lại đăng ký cùng SĐT trong vòng 3 phút")</f>
        <v>Thoát App khi đang ở màn hình OTP và quay lại đăng ký cùng SĐT trong vòng 3 phút</v>
      </c>
      <c r="E4" s="6" t="str">
        <f>IFERROR(__xludf.DUMMYFUNCTION("""COMPUTED_VALUE"""),"Đã đăng ký với SĐT X (verify='unverified'), OTP cũ còn hạn (&lt; 3 phút)")</f>
        <v>Đã đăng ký với SĐT X (verify='unverified'), OTP cũ còn hạn (&lt; 3 phút)</v>
      </c>
      <c r="F4" s="6" t="str">
        <f>IFERROR(__xludf.DUMMYFUNCTION("""COMPUTED_VALUE"""),"1. Thoát App khi đang ở màn hình nhập OTP
2. Mở lại App, nhập lại cùng SĐT X để đăng ký
3. Bấm 'Tiếp tục'")</f>
        <v>1. Thoát App khi đang ở màn hình nhập OTP
2. Mở lại App, nhập lại cùng SĐT X để đăng ký
3. Bấm 'Tiếp tục'</v>
      </c>
      <c r="G4" s="6" t="str">
        <f>IFERROR(__xludf.DUMMYFUNCTION("""COMPUTED_VALUE"""),"SĐT X, OTP cũ còn hạn")</f>
        <v>SĐT X, OTP cũ còn hạn</v>
      </c>
      <c r="H4" s="6" t="str">
        <f>IFERROR(__xludf.DUMMYFUNCTION("""COMPUTED_VALUE"""),"Backend nhận diện OTP cũ còn hạn, trả cờ OTP_ALREADY_SENT kèm số giây còn lại; Client vào thẳng màn hình OTP với đếm ngược tiếp tục, không gửi SMS mới")</f>
        <v>Backend nhận diện OTP cũ còn hạn, trả cờ OTP_ALREADY_SENT kèm số giây còn lại; Client vào thẳng màn hình OTP với đếm ngược tiếp tục, không gửi SMS mới</v>
      </c>
      <c r="I4" s="6" t="str">
        <f>IFERROR(__xludf.DUMMYFUNCTION("""COMPUTED_VALUE"""),"Hiện thông báo không thể gửi OTP, không quay lại màn hình nhập OTP")</f>
        <v>Hiện thông báo không thể gửi OTP, không quay lại màn hình nhập OTP</v>
      </c>
      <c r="J4" s="7" t="str">
        <f>IFERROR(__xludf.DUMMYFUNCTION("""COMPUTED_VALUE"""),"Fail")</f>
        <v>Fail</v>
      </c>
      <c r="K4" s="7" t="str">
        <f>IFERROR(__xludf.DUMMYFUNCTION("""COMPUTED_VALUE"""),"Trung bình")</f>
        <v>Trung bình</v>
      </c>
      <c r="L4" s="6" t="str">
        <f>IFERROR(__xludf.DUMMYFUNCTION("""COMPUTED_VALUE"""),"Bùi Lương Trọng Trí")</f>
        <v>Bùi Lương Trọng Trí</v>
      </c>
      <c r="M4" s="8">
        <f>IFERROR(__xludf.DUMMYFUNCTION("""COMPUTED_VALUE"""),46283.0)</f>
        <v>46283</v>
      </c>
    </row>
    <row r="5">
      <c r="A5" s="10"/>
      <c r="B5" s="12"/>
      <c r="C5" s="13"/>
      <c r="D5" s="12"/>
      <c r="E5" s="12"/>
      <c r="F5" s="12"/>
      <c r="G5" s="12"/>
      <c r="H5" s="12"/>
      <c r="I5" s="12"/>
      <c r="J5" s="13"/>
      <c r="K5" s="13"/>
      <c r="L5" s="12"/>
      <c r="M5" s="14"/>
    </row>
    <row r="6">
      <c r="A6" s="10"/>
      <c r="B6" s="12"/>
      <c r="C6" s="13"/>
      <c r="D6" s="12"/>
      <c r="E6" s="12"/>
      <c r="F6" s="12"/>
      <c r="G6" s="12"/>
      <c r="H6" s="12"/>
      <c r="I6" s="12"/>
      <c r="J6" s="13"/>
      <c r="K6" s="13"/>
      <c r="L6" s="12"/>
      <c r="M6" s="14"/>
    </row>
    <row r="7">
      <c r="A7" s="10"/>
      <c r="B7" s="12"/>
      <c r="C7" s="13"/>
      <c r="D7" s="12"/>
      <c r="E7" s="12"/>
      <c r="F7" s="12"/>
      <c r="G7" s="12"/>
      <c r="H7" s="12"/>
      <c r="I7" s="12"/>
      <c r="J7" s="13"/>
      <c r="K7" s="13"/>
      <c r="L7" s="12"/>
      <c r="M7" s="14"/>
    </row>
    <row r="8">
      <c r="A8" s="10"/>
      <c r="B8" s="12"/>
      <c r="C8" s="13"/>
      <c r="D8" s="12"/>
      <c r="E8" s="12"/>
      <c r="F8" s="12"/>
      <c r="G8" s="12"/>
      <c r="H8" s="12"/>
      <c r="I8" s="12"/>
      <c r="J8" s="13"/>
      <c r="K8" s="13"/>
      <c r="L8" s="12"/>
      <c r="M8" s="14"/>
    </row>
    <row r="9">
      <c r="A9" s="10"/>
      <c r="B9" s="12"/>
      <c r="C9" s="13"/>
      <c r="D9" s="12"/>
      <c r="E9" s="12"/>
      <c r="F9" s="12"/>
      <c r="G9" s="12"/>
      <c r="H9" s="12"/>
      <c r="I9" s="12"/>
      <c r="J9" s="13"/>
      <c r="K9" s="13"/>
      <c r="L9" s="12"/>
      <c r="M9" s="14"/>
    </row>
    <row r="10">
      <c r="A10" s="17"/>
      <c r="B10" s="18"/>
      <c r="C10" s="19"/>
      <c r="D10" s="18"/>
      <c r="E10" s="18"/>
      <c r="F10" s="18"/>
      <c r="G10" s="18"/>
      <c r="H10" s="18"/>
      <c r="I10" s="18"/>
      <c r="J10" s="19"/>
      <c r="K10" s="19"/>
      <c r="L10" s="18"/>
      <c r="M10" s="20"/>
    </row>
    <row r="11">
      <c r="A11" s="21"/>
      <c r="B11" s="22"/>
      <c r="C11" s="21"/>
      <c r="D11" s="22"/>
      <c r="E11" s="22"/>
      <c r="F11" s="22"/>
      <c r="G11" s="22"/>
      <c r="H11" s="22"/>
      <c r="I11" s="22"/>
      <c r="J11" s="21"/>
      <c r="K11" s="21"/>
      <c r="L11" s="22"/>
      <c r="M11" s="21"/>
    </row>
    <row r="12">
      <c r="A12" s="21"/>
      <c r="B12" s="22"/>
      <c r="C12" s="21"/>
      <c r="D12" s="22"/>
      <c r="E12" s="22"/>
      <c r="F12" s="22"/>
      <c r="G12" s="22"/>
      <c r="H12" s="22"/>
      <c r="I12" s="22"/>
      <c r="J12" s="21"/>
      <c r="K12" s="21"/>
      <c r="L12" s="22"/>
      <c r="M12" s="21"/>
    </row>
    <row r="13">
      <c r="A13" s="21"/>
      <c r="B13" s="22"/>
      <c r="C13" s="21"/>
      <c r="D13" s="22"/>
      <c r="E13" s="22"/>
      <c r="F13" s="22"/>
      <c r="G13" s="22"/>
      <c r="H13" s="22"/>
      <c r="I13" s="22"/>
      <c r="J13" s="21"/>
      <c r="K13" s="21"/>
      <c r="L13" s="22"/>
      <c r="M13" s="21"/>
    </row>
    <row r="14">
      <c r="A14" s="21"/>
      <c r="B14" s="22"/>
      <c r="C14" s="21"/>
      <c r="D14" s="22"/>
      <c r="E14" s="22"/>
      <c r="F14" s="22"/>
      <c r="G14" s="22"/>
      <c r="H14" s="22"/>
      <c r="I14" s="22"/>
      <c r="J14" s="21"/>
      <c r="K14" s="21"/>
      <c r="L14" s="22"/>
      <c r="M14" s="21"/>
    </row>
    <row r="15">
      <c r="A15" s="21"/>
      <c r="B15" s="22"/>
      <c r="C15" s="21"/>
      <c r="D15" s="22"/>
      <c r="E15" s="22"/>
      <c r="F15" s="22"/>
      <c r="G15" s="22"/>
      <c r="H15" s="22"/>
      <c r="I15" s="22"/>
      <c r="J15" s="21"/>
      <c r="K15" s="21"/>
      <c r="L15" s="22"/>
      <c r="M15" s="21"/>
    </row>
    <row r="16">
      <c r="A16" s="21"/>
      <c r="B16" s="22"/>
      <c r="C16" s="21"/>
      <c r="D16" s="22"/>
      <c r="E16" s="22"/>
      <c r="F16" s="22"/>
      <c r="G16" s="22"/>
      <c r="H16" s="22"/>
      <c r="I16" s="22"/>
      <c r="J16" s="21"/>
      <c r="K16" s="21"/>
      <c r="L16" s="22"/>
      <c r="M16" s="21"/>
    </row>
    <row r="17">
      <c r="A17" s="21"/>
      <c r="B17" s="22"/>
      <c r="C17" s="21"/>
      <c r="D17" s="22"/>
      <c r="E17" s="22"/>
      <c r="F17" s="22"/>
      <c r="G17" s="22"/>
      <c r="H17" s="22"/>
      <c r="I17" s="22"/>
      <c r="J17" s="21"/>
      <c r="K17" s="21"/>
      <c r="L17" s="22"/>
      <c r="M17" s="21"/>
    </row>
    <row r="18">
      <c r="A18" s="21"/>
      <c r="B18" s="22"/>
      <c r="C18" s="21"/>
      <c r="D18" s="22"/>
      <c r="E18" s="22"/>
      <c r="F18" s="22"/>
      <c r="G18" s="22"/>
      <c r="H18" s="22"/>
      <c r="I18" s="22"/>
      <c r="J18" s="21"/>
      <c r="K18" s="21"/>
      <c r="L18" s="22"/>
      <c r="M18" s="21"/>
    </row>
    <row r="19">
      <c r="A19" s="21"/>
      <c r="B19" s="22"/>
      <c r="C19" s="21"/>
      <c r="D19" s="22"/>
      <c r="E19" s="22"/>
      <c r="F19" s="22"/>
      <c r="G19" s="22"/>
      <c r="H19" s="22"/>
      <c r="I19" s="22"/>
      <c r="J19" s="21"/>
      <c r="K19" s="21"/>
      <c r="L19" s="22"/>
      <c r="M19" s="21"/>
    </row>
    <row r="20">
      <c r="A20" s="21"/>
      <c r="B20" s="22"/>
      <c r="C20" s="21"/>
      <c r="D20" s="22"/>
      <c r="E20" s="22"/>
      <c r="F20" s="22"/>
      <c r="G20" s="22"/>
      <c r="H20" s="22"/>
      <c r="I20" s="22"/>
      <c r="J20" s="21"/>
      <c r="K20" s="21"/>
      <c r="L20" s="22"/>
      <c r="M20" s="21"/>
    </row>
    <row r="21">
      <c r="A21" s="21"/>
      <c r="B21" s="22"/>
      <c r="C21" s="21"/>
      <c r="D21" s="22"/>
      <c r="E21" s="22"/>
      <c r="F21" s="22"/>
      <c r="G21" s="22"/>
      <c r="H21" s="22"/>
      <c r="I21" s="22"/>
      <c r="J21" s="21"/>
      <c r="K21" s="21"/>
      <c r="L21" s="22"/>
      <c r="M21" s="21"/>
    </row>
    <row r="22">
      <c r="A22" s="21"/>
      <c r="B22" s="22"/>
      <c r="C22" s="21"/>
      <c r="D22" s="22"/>
      <c r="E22" s="22"/>
      <c r="F22" s="22"/>
      <c r="G22" s="22"/>
      <c r="H22" s="22"/>
      <c r="I22" s="22"/>
      <c r="J22" s="21"/>
      <c r="K22" s="21"/>
      <c r="L22" s="22"/>
      <c r="M22" s="21"/>
    </row>
    <row r="23">
      <c r="A23" s="21"/>
      <c r="B23" s="22"/>
      <c r="C23" s="21"/>
      <c r="D23" s="22"/>
      <c r="E23" s="22"/>
      <c r="F23" s="22"/>
      <c r="G23" s="22"/>
      <c r="H23" s="22"/>
      <c r="I23" s="22"/>
      <c r="J23" s="21"/>
      <c r="K23" s="21"/>
      <c r="L23" s="22"/>
      <c r="M23" s="21"/>
    </row>
    <row r="24">
      <c r="A24" s="21"/>
      <c r="B24" s="22"/>
      <c r="C24" s="21"/>
      <c r="D24" s="22"/>
      <c r="E24" s="22"/>
      <c r="F24" s="22"/>
      <c r="G24" s="22"/>
      <c r="H24" s="22"/>
      <c r="I24" s="22"/>
      <c r="J24" s="21"/>
      <c r="K24" s="21"/>
      <c r="L24" s="22"/>
      <c r="M24" s="21"/>
    </row>
    <row r="25">
      <c r="A25" s="21"/>
      <c r="B25" s="22"/>
      <c r="C25" s="21"/>
      <c r="D25" s="22"/>
      <c r="E25" s="22"/>
      <c r="F25" s="22"/>
      <c r="G25" s="22"/>
      <c r="H25" s="22"/>
      <c r="I25" s="22"/>
      <c r="J25" s="21"/>
      <c r="K25" s="21"/>
      <c r="L25" s="22"/>
      <c r="M25" s="21"/>
    </row>
    <row r="26">
      <c r="A26" s="21"/>
      <c r="B26" s="22"/>
      <c r="C26" s="21"/>
      <c r="D26" s="22"/>
      <c r="E26" s="22"/>
      <c r="F26" s="22"/>
      <c r="G26" s="22"/>
      <c r="H26" s="22"/>
      <c r="I26" s="22"/>
      <c r="J26" s="21"/>
      <c r="K26" s="21"/>
      <c r="L26" s="22"/>
      <c r="M26" s="21"/>
    </row>
    <row r="27">
      <c r="A27" s="21"/>
      <c r="B27" s="22"/>
      <c r="C27" s="21"/>
      <c r="D27" s="22"/>
      <c r="E27" s="22"/>
      <c r="F27" s="22"/>
      <c r="G27" s="22"/>
      <c r="H27" s="22"/>
      <c r="I27" s="22"/>
      <c r="J27" s="21"/>
      <c r="K27" s="21"/>
      <c r="L27" s="22"/>
      <c r="M27" s="21"/>
    </row>
    <row r="28">
      <c r="A28" s="21"/>
      <c r="B28" s="22"/>
      <c r="C28" s="21"/>
      <c r="D28" s="22"/>
      <c r="E28" s="22"/>
      <c r="F28" s="22"/>
      <c r="G28" s="22"/>
      <c r="H28" s="22"/>
      <c r="I28" s="22"/>
      <c r="J28" s="21"/>
      <c r="K28" s="21"/>
      <c r="L28" s="22"/>
      <c r="M28" s="21"/>
    </row>
    <row r="29">
      <c r="A29" s="21"/>
      <c r="B29" s="22"/>
      <c r="C29" s="21"/>
      <c r="D29" s="22"/>
      <c r="E29" s="22"/>
      <c r="F29" s="22"/>
      <c r="G29" s="22"/>
      <c r="H29" s="22"/>
      <c r="I29" s="22"/>
      <c r="J29" s="21"/>
      <c r="K29" s="21"/>
      <c r="L29" s="22"/>
      <c r="M29" s="21"/>
    </row>
    <row r="30">
      <c r="A30" s="21"/>
      <c r="B30" s="22"/>
      <c r="C30" s="21"/>
      <c r="D30" s="22"/>
      <c r="E30" s="22"/>
      <c r="F30" s="22"/>
      <c r="G30" s="22"/>
      <c r="H30" s="22"/>
      <c r="I30" s="22"/>
      <c r="J30" s="21"/>
      <c r="K30" s="21"/>
      <c r="L30" s="22"/>
      <c r="M30" s="21"/>
    </row>
    <row r="31">
      <c r="A31" s="21"/>
      <c r="B31" s="22"/>
      <c r="C31" s="21"/>
      <c r="D31" s="22"/>
      <c r="E31" s="22"/>
      <c r="F31" s="22"/>
      <c r="G31" s="22"/>
      <c r="H31" s="22"/>
      <c r="I31" s="22"/>
      <c r="J31" s="21"/>
      <c r="K31" s="21"/>
      <c r="L31" s="22"/>
      <c r="M31" s="21"/>
    </row>
    <row r="32">
      <c r="A32" s="21"/>
      <c r="B32" s="22"/>
      <c r="C32" s="21"/>
      <c r="D32" s="22"/>
      <c r="E32" s="22"/>
      <c r="F32" s="22"/>
      <c r="G32" s="22"/>
      <c r="H32" s="22"/>
      <c r="I32" s="22"/>
      <c r="J32" s="21"/>
      <c r="K32" s="21"/>
      <c r="L32" s="22"/>
      <c r="M32" s="21"/>
    </row>
    <row r="33">
      <c r="A33" s="21"/>
      <c r="B33" s="22"/>
      <c r="C33" s="21"/>
      <c r="D33" s="22"/>
      <c r="E33" s="22"/>
      <c r="F33" s="22"/>
      <c r="G33" s="22"/>
      <c r="H33" s="22"/>
      <c r="I33" s="22"/>
      <c r="J33" s="21"/>
      <c r="K33" s="21"/>
      <c r="L33" s="22"/>
      <c r="M33" s="21"/>
    </row>
    <row r="34">
      <c r="A34" s="21"/>
      <c r="B34" s="22"/>
      <c r="C34" s="21"/>
      <c r="D34" s="22"/>
      <c r="E34" s="22"/>
      <c r="F34" s="22"/>
      <c r="G34" s="22"/>
      <c r="H34" s="22"/>
      <c r="I34" s="22"/>
      <c r="J34" s="21"/>
      <c r="K34" s="21"/>
      <c r="L34" s="22"/>
      <c r="M34" s="21"/>
    </row>
    <row r="35">
      <c r="A35" s="21"/>
      <c r="B35" s="22"/>
      <c r="C35" s="21"/>
      <c r="D35" s="22"/>
      <c r="E35" s="22"/>
      <c r="F35" s="22"/>
      <c r="G35" s="22"/>
      <c r="H35" s="22"/>
      <c r="I35" s="22"/>
      <c r="J35" s="21"/>
      <c r="K35" s="21"/>
      <c r="L35" s="22"/>
      <c r="M35" s="21"/>
    </row>
    <row r="36">
      <c r="A36" s="21"/>
      <c r="B36" s="22"/>
      <c r="C36" s="21"/>
      <c r="D36" s="22"/>
      <c r="E36" s="22"/>
      <c r="F36" s="22"/>
      <c r="G36" s="22"/>
      <c r="H36" s="22"/>
      <c r="I36" s="22"/>
      <c r="J36" s="21"/>
      <c r="K36" s="21"/>
      <c r="L36" s="22"/>
      <c r="M36" s="21"/>
    </row>
    <row r="37">
      <c r="A37" s="21"/>
      <c r="B37" s="22"/>
      <c r="C37" s="21"/>
      <c r="D37" s="22"/>
      <c r="E37" s="22"/>
      <c r="F37" s="22"/>
      <c r="G37" s="22"/>
      <c r="H37" s="22"/>
      <c r="I37" s="22"/>
      <c r="J37" s="21"/>
      <c r="K37" s="21"/>
      <c r="L37" s="22"/>
      <c r="M37" s="21"/>
    </row>
    <row r="38">
      <c r="A38" s="21"/>
      <c r="B38" s="22"/>
      <c r="C38" s="21"/>
      <c r="D38" s="22"/>
      <c r="E38" s="22"/>
      <c r="F38" s="22"/>
      <c r="G38" s="22"/>
      <c r="H38" s="22"/>
      <c r="I38" s="22"/>
      <c r="J38" s="21"/>
      <c r="K38" s="21"/>
      <c r="L38" s="22"/>
      <c r="M38" s="21"/>
    </row>
    <row r="39">
      <c r="A39" s="21"/>
      <c r="B39" s="22"/>
      <c r="C39" s="21"/>
      <c r="D39" s="22"/>
      <c r="E39" s="22"/>
      <c r="F39" s="22"/>
      <c r="G39" s="22"/>
      <c r="H39" s="22"/>
      <c r="I39" s="22"/>
      <c r="J39" s="21"/>
      <c r="K39" s="21"/>
      <c r="L39" s="22"/>
      <c r="M39" s="21"/>
    </row>
    <row r="40">
      <c r="A40" s="21"/>
      <c r="B40" s="22"/>
      <c r="C40" s="21"/>
      <c r="D40" s="22"/>
      <c r="E40" s="22"/>
      <c r="F40" s="22"/>
      <c r="G40" s="22"/>
      <c r="H40" s="22"/>
      <c r="I40" s="22"/>
      <c r="J40" s="21"/>
      <c r="K40" s="21"/>
      <c r="L40" s="22"/>
      <c r="M40" s="21"/>
    </row>
    <row r="41">
      <c r="A41" s="21"/>
      <c r="B41" s="22"/>
      <c r="C41" s="21"/>
      <c r="D41" s="22"/>
      <c r="E41" s="22"/>
      <c r="F41" s="22"/>
      <c r="G41" s="22"/>
      <c r="H41" s="22"/>
      <c r="I41" s="22"/>
      <c r="J41" s="21"/>
      <c r="K41" s="21"/>
      <c r="L41" s="22"/>
      <c r="M41" s="21"/>
    </row>
    <row r="42">
      <c r="A42" s="21"/>
      <c r="B42" s="22"/>
      <c r="C42" s="21"/>
      <c r="D42" s="22"/>
      <c r="E42" s="22"/>
      <c r="F42" s="22"/>
      <c r="G42" s="22"/>
      <c r="H42" s="22"/>
      <c r="I42" s="22"/>
      <c r="J42" s="21"/>
      <c r="K42" s="21"/>
      <c r="L42" s="22"/>
      <c r="M42" s="21"/>
    </row>
    <row r="43">
      <c r="A43" s="21"/>
      <c r="B43" s="22"/>
      <c r="C43" s="21"/>
      <c r="D43" s="22"/>
      <c r="E43" s="22"/>
      <c r="F43" s="22"/>
      <c r="G43" s="22"/>
      <c r="H43" s="22"/>
      <c r="I43" s="22"/>
      <c r="J43" s="21"/>
      <c r="K43" s="21"/>
      <c r="L43" s="22"/>
      <c r="M43" s="21"/>
    </row>
    <row r="44">
      <c r="A44" s="21"/>
      <c r="B44" s="22"/>
      <c r="C44" s="21"/>
      <c r="D44" s="22"/>
      <c r="E44" s="22"/>
      <c r="F44" s="22"/>
      <c r="G44" s="22"/>
      <c r="H44" s="22"/>
      <c r="I44" s="22"/>
      <c r="J44" s="21"/>
      <c r="K44" s="21"/>
      <c r="L44" s="22"/>
      <c r="M44" s="21"/>
    </row>
    <row r="45">
      <c r="A45" s="21"/>
      <c r="B45" s="22"/>
      <c r="C45" s="21"/>
      <c r="D45" s="22"/>
      <c r="E45" s="22"/>
      <c r="F45" s="22"/>
      <c r="G45" s="22"/>
      <c r="H45" s="22"/>
      <c r="I45" s="22"/>
      <c r="J45" s="21"/>
      <c r="K45" s="21"/>
      <c r="L45" s="22"/>
      <c r="M45" s="21"/>
    </row>
    <row r="46">
      <c r="A46" s="21"/>
      <c r="B46" s="22"/>
      <c r="C46" s="21"/>
      <c r="D46" s="22"/>
      <c r="E46" s="22"/>
      <c r="F46" s="22"/>
      <c r="G46" s="22"/>
      <c r="H46" s="22"/>
      <c r="I46" s="22"/>
      <c r="J46" s="21"/>
      <c r="K46" s="21"/>
      <c r="L46" s="22"/>
      <c r="M46" s="21"/>
    </row>
    <row r="47">
      <c r="A47" s="21"/>
      <c r="B47" s="22"/>
      <c r="C47" s="21"/>
      <c r="D47" s="22"/>
      <c r="E47" s="22"/>
      <c r="F47" s="22"/>
      <c r="G47" s="22"/>
      <c r="H47" s="22"/>
      <c r="I47" s="22"/>
      <c r="J47" s="21"/>
      <c r="K47" s="21"/>
      <c r="L47" s="22"/>
      <c r="M47" s="21"/>
    </row>
    <row r="48">
      <c r="A48" s="21"/>
      <c r="B48" s="22"/>
      <c r="C48" s="21"/>
      <c r="D48" s="22"/>
      <c r="E48" s="22"/>
      <c r="F48" s="22"/>
      <c r="G48" s="22"/>
      <c r="H48" s="22"/>
      <c r="I48" s="22"/>
      <c r="J48" s="21"/>
      <c r="K48" s="21"/>
      <c r="L48" s="22"/>
      <c r="M48" s="21"/>
    </row>
    <row r="49">
      <c r="A49" s="21"/>
      <c r="B49" s="22"/>
      <c r="C49" s="21"/>
      <c r="D49" s="22"/>
      <c r="E49" s="22"/>
      <c r="F49" s="22"/>
      <c r="G49" s="22"/>
      <c r="H49" s="22"/>
      <c r="I49" s="22"/>
      <c r="J49" s="21"/>
      <c r="K49" s="21"/>
      <c r="L49" s="22"/>
      <c r="M49" s="21"/>
    </row>
    <row r="50">
      <c r="A50" s="21"/>
      <c r="B50" s="22"/>
      <c r="C50" s="21"/>
      <c r="D50" s="22"/>
      <c r="E50" s="22"/>
      <c r="F50" s="22"/>
      <c r="G50" s="22"/>
      <c r="H50" s="22"/>
      <c r="I50" s="22"/>
      <c r="J50" s="21"/>
      <c r="K50" s="21"/>
      <c r="L50" s="22"/>
      <c r="M50" s="21"/>
    </row>
    <row r="51">
      <c r="A51" s="21"/>
      <c r="B51" s="22"/>
      <c r="C51" s="21"/>
      <c r="D51" s="22"/>
      <c r="E51" s="22"/>
      <c r="F51" s="22"/>
      <c r="G51" s="22"/>
      <c r="H51" s="22"/>
      <c r="I51" s="22"/>
      <c r="J51" s="21"/>
      <c r="K51" s="21"/>
      <c r="L51" s="22"/>
      <c r="M51" s="21"/>
    </row>
    <row r="52">
      <c r="A52" s="21"/>
      <c r="B52" s="22"/>
      <c r="C52" s="21"/>
      <c r="D52" s="22"/>
      <c r="E52" s="22"/>
      <c r="F52" s="22"/>
      <c r="G52" s="22"/>
      <c r="H52" s="22"/>
      <c r="I52" s="22"/>
      <c r="J52" s="21"/>
      <c r="K52" s="21"/>
      <c r="L52" s="22"/>
      <c r="M52" s="21"/>
    </row>
    <row r="53">
      <c r="A53" s="21"/>
      <c r="B53" s="22"/>
      <c r="C53" s="21"/>
      <c r="D53" s="22"/>
      <c r="E53" s="22"/>
      <c r="F53" s="22"/>
      <c r="G53" s="22"/>
      <c r="H53" s="22"/>
      <c r="I53" s="22"/>
      <c r="J53" s="21"/>
      <c r="K53" s="21"/>
      <c r="L53" s="22"/>
      <c r="M53" s="21"/>
    </row>
    <row r="54">
      <c r="A54" s="21"/>
      <c r="B54" s="22"/>
      <c r="C54" s="21"/>
      <c r="D54" s="22"/>
      <c r="E54" s="22"/>
      <c r="F54" s="22"/>
      <c r="G54" s="22"/>
      <c r="H54" s="22"/>
      <c r="I54" s="22"/>
      <c r="J54" s="21"/>
      <c r="K54" s="21"/>
      <c r="L54" s="22"/>
      <c r="M54" s="21"/>
    </row>
    <row r="55">
      <c r="A55" s="21"/>
      <c r="B55" s="22"/>
      <c r="C55" s="21"/>
      <c r="D55" s="22"/>
      <c r="E55" s="22"/>
      <c r="F55" s="22"/>
      <c r="G55" s="22"/>
      <c r="H55" s="22"/>
      <c r="I55" s="22"/>
      <c r="J55" s="21"/>
      <c r="K55" s="21"/>
      <c r="L55" s="22"/>
      <c r="M55" s="21"/>
    </row>
    <row r="56">
      <c r="A56" s="21"/>
      <c r="B56" s="22"/>
      <c r="C56" s="21"/>
      <c r="D56" s="22"/>
      <c r="E56" s="22"/>
      <c r="F56" s="22"/>
      <c r="G56" s="22"/>
      <c r="H56" s="22"/>
      <c r="I56" s="22"/>
      <c r="J56" s="21"/>
      <c r="K56" s="21"/>
      <c r="L56" s="22"/>
      <c r="M56" s="21"/>
    </row>
    <row r="57">
      <c r="A57" s="21"/>
      <c r="B57" s="22"/>
      <c r="C57" s="21"/>
      <c r="D57" s="22"/>
      <c r="E57" s="22"/>
      <c r="F57" s="22"/>
      <c r="G57" s="22"/>
      <c r="H57" s="22"/>
      <c r="I57" s="22"/>
      <c r="J57" s="21"/>
      <c r="K57" s="21"/>
      <c r="L57" s="22"/>
      <c r="M57" s="21"/>
    </row>
    <row r="58">
      <c r="A58" s="21"/>
      <c r="B58" s="22"/>
      <c r="C58" s="21"/>
      <c r="D58" s="22"/>
      <c r="E58" s="22"/>
      <c r="F58" s="22"/>
      <c r="G58" s="22"/>
      <c r="H58" s="22"/>
      <c r="I58" s="22"/>
      <c r="J58" s="21"/>
      <c r="K58" s="21"/>
      <c r="L58" s="22"/>
      <c r="M58" s="21"/>
    </row>
    <row r="59">
      <c r="A59" s="21"/>
      <c r="B59" s="22"/>
      <c r="C59" s="21"/>
      <c r="D59" s="22"/>
      <c r="E59" s="22"/>
      <c r="F59" s="22"/>
      <c r="G59" s="22"/>
      <c r="H59" s="22"/>
      <c r="I59" s="22"/>
      <c r="J59" s="21"/>
      <c r="K59" s="21"/>
      <c r="L59" s="22"/>
      <c r="M59" s="21"/>
    </row>
    <row r="60">
      <c r="A60" s="21"/>
      <c r="B60" s="22"/>
      <c r="C60" s="21"/>
      <c r="D60" s="22"/>
      <c r="E60" s="22"/>
      <c r="F60" s="22"/>
      <c r="G60" s="22"/>
      <c r="H60" s="22"/>
      <c r="I60" s="22"/>
      <c r="J60" s="21"/>
      <c r="K60" s="21"/>
      <c r="L60" s="22"/>
      <c r="M60" s="21"/>
    </row>
    <row r="61">
      <c r="A61" s="21"/>
      <c r="B61" s="22"/>
      <c r="C61" s="21"/>
      <c r="D61" s="22"/>
      <c r="E61" s="22"/>
      <c r="F61" s="22"/>
      <c r="G61" s="22"/>
      <c r="H61" s="22"/>
      <c r="I61" s="22"/>
      <c r="J61" s="21"/>
      <c r="K61" s="21"/>
      <c r="L61" s="22"/>
      <c r="M61" s="21"/>
    </row>
    <row r="62">
      <c r="A62" s="21"/>
      <c r="B62" s="22"/>
      <c r="C62" s="21"/>
      <c r="D62" s="22"/>
      <c r="E62" s="22"/>
      <c r="F62" s="22"/>
      <c r="G62" s="22"/>
      <c r="H62" s="22"/>
      <c r="I62" s="22"/>
      <c r="J62" s="21"/>
      <c r="K62" s="21"/>
      <c r="L62" s="22"/>
      <c r="M62" s="21"/>
    </row>
    <row r="63">
      <c r="A63" s="21"/>
      <c r="B63" s="22"/>
      <c r="C63" s="21"/>
      <c r="D63" s="22"/>
      <c r="E63" s="22"/>
      <c r="F63" s="22"/>
      <c r="G63" s="22"/>
      <c r="H63" s="22"/>
      <c r="I63" s="22"/>
      <c r="J63" s="21"/>
      <c r="K63" s="21"/>
      <c r="L63" s="22"/>
      <c r="M63" s="21"/>
    </row>
    <row r="64">
      <c r="A64" s="21"/>
      <c r="B64" s="22"/>
      <c r="C64" s="21"/>
      <c r="D64" s="22"/>
      <c r="E64" s="22"/>
      <c r="F64" s="22"/>
      <c r="G64" s="22"/>
      <c r="H64" s="22"/>
      <c r="I64" s="22"/>
      <c r="J64" s="21"/>
      <c r="K64" s="21"/>
      <c r="L64" s="22"/>
      <c r="M64" s="21"/>
    </row>
    <row r="65">
      <c r="A65" s="21"/>
      <c r="B65" s="22"/>
      <c r="C65" s="21"/>
      <c r="D65" s="22"/>
      <c r="E65" s="22"/>
      <c r="F65" s="22"/>
      <c r="G65" s="22"/>
      <c r="H65" s="22"/>
      <c r="I65" s="22"/>
      <c r="J65" s="21"/>
      <c r="K65" s="21"/>
      <c r="L65" s="22"/>
      <c r="M65" s="21"/>
    </row>
    <row r="66">
      <c r="A66" s="21"/>
      <c r="B66" s="22"/>
      <c r="C66" s="21"/>
      <c r="D66" s="22"/>
      <c r="E66" s="22"/>
      <c r="F66" s="22"/>
      <c r="G66" s="22"/>
      <c r="H66" s="22"/>
      <c r="I66" s="22"/>
      <c r="J66" s="21"/>
      <c r="K66" s="21"/>
      <c r="L66" s="22"/>
      <c r="M66" s="21"/>
    </row>
    <row r="67">
      <c r="A67" s="21"/>
      <c r="B67" s="22"/>
      <c r="C67" s="21"/>
      <c r="D67" s="22"/>
      <c r="E67" s="22"/>
      <c r="F67" s="22"/>
      <c r="G67" s="22"/>
      <c r="H67" s="22"/>
      <c r="I67" s="22"/>
      <c r="J67" s="21"/>
      <c r="K67" s="21"/>
      <c r="L67" s="22"/>
      <c r="M67" s="21"/>
    </row>
    <row r="68">
      <c r="A68" s="21"/>
      <c r="B68" s="22"/>
      <c r="C68" s="21"/>
      <c r="D68" s="22"/>
      <c r="E68" s="22"/>
      <c r="F68" s="22"/>
      <c r="G68" s="22"/>
      <c r="H68" s="22"/>
      <c r="I68" s="22"/>
      <c r="J68" s="21"/>
      <c r="K68" s="21"/>
      <c r="L68" s="22"/>
      <c r="M68" s="21"/>
    </row>
    <row r="69">
      <c r="A69" s="21"/>
      <c r="B69" s="22"/>
      <c r="C69" s="21"/>
      <c r="D69" s="22"/>
      <c r="E69" s="22"/>
      <c r="F69" s="22"/>
      <c r="G69" s="22"/>
      <c r="H69" s="22"/>
      <c r="I69" s="22"/>
      <c r="J69" s="21"/>
      <c r="K69" s="21"/>
      <c r="L69" s="22"/>
      <c r="M69" s="21"/>
    </row>
    <row r="70">
      <c r="A70" s="21"/>
      <c r="B70" s="22"/>
      <c r="C70" s="21"/>
      <c r="D70" s="22"/>
      <c r="E70" s="22"/>
      <c r="F70" s="22"/>
      <c r="G70" s="22"/>
      <c r="H70" s="22"/>
      <c r="I70" s="22"/>
      <c r="J70" s="21"/>
      <c r="K70" s="21"/>
      <c r="L70" s="22"/>
      <c r="M70" s="21"/>
    </row>
    <row r="71">
      <c r="A71" s="21"/>
      <c r="B71" s="22"/>
      <c r="C71" s="21"/>
      <c r="D71" s="22"/>
      <c r="E71" s="22"/>
      <c r="F71" s="22"/>
      <c r="G71" s="22"/>
      <c r="H71" s="22"/>
      <c r="I71" s="22"/>
      <c r="J71" s="21"/>
      <c r="K71" s="21"/>
      <c r="L71" s="22"/>
      <c r="M71" s="21"/>
    </row>
    <row r="72">
      <c r="A72" s="21"/>
      <c r="B72" s="22"/>
      <c r="C72" s="21"/>
      <c r="D72" s="22"/>
      <c r="E72" s="22"/>
      <c r="F72" s="22"/>
      <c r="G72" s="22"/>
      <c r="H72" s="22"/>
      <c r="I72" s="22"/>
      <c r="J72" s="21"/>
      <c r="K72" s="21"/>
      <c r="L72" s="22"/>
      <c r="M72" s="21"/>
    </row>
    <row r="73">
      <c r="A73" s="21"/>
      <c r="B73" s="22"/>
      <c r="C73" s="21"/>
      <c r="D73" s="22"/>
      <c r="E73" s="22"/>
      <c r="F73" s="22"/>
      <c r="G73" s="22"/>
      <c r="H73" s="22"/>
      <c r="I73" s="22"/>
      <c r="J73" s="21"/>
      <c r="K73" s="21"/>
      <c r="L73" s="22"/>
      <c r="M73" s="21"/>
    </row>
    <row r="74">
      <c r="A74" s="21"/>
      <c r="B74" s="22"/>
      <c r="C74" s="21"/>
      <c r="D74" s="22"/>
      <c r="E74" s="22"/>
      <c r="F74" s="22"/>
      <c r="G74" s="22"/>
      <c r="H74" s="22"/>
      <c r="I74" s="22"/>
      <c r="J74" s="21"/>
      <c r="K74" s="21"/>
      <c r="L74" s="22"/>
      <c r="M74" s="21"/>
    </row>
    <row r="75">
      <c r="A75" s="21"/>
      <c r="B75" s="22"/>
      <c r="C75" s="21"/>
      <c r="D75" s="22"/>
      <c r="E75" s="22"/>
      <c r="F75" s="22"/>
      <c r="G75" s="22"/>
      <c r="H75" s="22"/>
      <c r="I75" s="22"/>
      <c r="J75" s="21"/>
      <c r="K75" s="21"/>
      <c r="L75" s="22"/>
      <c r="M75" s="21"/>
    </row>
    <row r="76">
      <c r="A76" s="21"/>
      <c r="B76" s="22"/>
      <c r="C76" s="21"/>
      <c r="D76" s="22"/>
      <c r="E76" s="22"/>
      <c r="F76" s="22"/>
      <c r="G76" s="22"/>
      <c r="H76" s="22"/>
      <c r="I76" s="22"/>
      <c r="J76" s="21"/>
      <c r="K76" s="21"/>
      <c r="L76" s="22"/>
      <c r="M76" s="21"/>
    </row>
    <row r="77">
      <c r="A77" s="21"/>
      <c r="B77" s="22"/>
      <c r="C77" s="21"/>
      <c r="D77" s="22"/>
      <c r="E77" s="22"/>
      <c r="F77" s="22"/>
      <c r="G77" s="22"/>
      <c r="H77" s="22"/>
      <c r="I77" s="22"/>
      <c r="J77" s="21"/>
      <c r="K77" s="21"/>
      <c r="L77" s="22"/>
      <c r="M77" s="21"/>
    </row>
    <row r="78">
      <c r="A78" s="21"/>
      <c r="B78" s="22"/>
      <c r="C78" s="21"/>
      <c r="D78" s="22"/>
      <c r="E78" s="22"/>
      <c r="F78" s="22"/>
      <c r="G78" s="22"/>
      <c r="H78" s="22"/>
      <c r="I78" s="22"/>
      <c r="J78" s="21"/>
      <c r="K78" s="21"/>
      <c r="L78" s="22"/>
      <c r="M78" s="21"/>
    </row>
    <row r="79">
      <c r="A79" s="21"/>
      <c r="B79" s="22"/>
      <c r="C79" s="21"/>
      <c r="D79" s="22"/>
      <c r="E79" s="22"/>
      <c r="F79" s="22"/>
      <c r="G79" s="22"/>
      <c r="H79" s="22"/>
      <c r="I79" s="22"/>
      <c r="J79" s="21"/>
      <c r="K79" s="21"/>
      <c r="L79" s="22"/>
      <c r="M79" s="21"/>
    </row>
    <row r="80">
      <c r="A80" s="21"/>
      <c r="B80" s="22"/>
      <c r="C80" s="21"/>
      <c r="D80" s="22"/>
      <c r="E80" s="22"/>
      <c r="F80" s="22"/>
      <c r="G80" s="22"/>
      <c r="H80" s="22"/>
      <c r="I80" s="22"/>
      <c r="J80" s="21"/>
      <c r="K80" s="21"/>
      <c r="L80" s="22"/>
      <c r="M80" s="21"/>
    </row>
    <row r="81">
      <c r="A81" s="21"/>
      <c r="B81" s="22"/>
      <c r="C81" s="21"/>
      <c r="D81" s="22"/>
      <c r="E81" s="22"/>
      <c r="F81" s="22"/>
      <c r="G81" s="22"/>
      <c r="H81" s="22"/>
      <c r="I81" s="22"/>
      <c r="J81" s="21"/>
      <c r="K81" s="21"/>
      <c r="L81" s="22"/>
      <c r="M81" s="21"/>
    </row>
    <row r="82">
      <c r="A82" s="21"/>
      <c r="B82" s="22"/>
      <c r="C82" s="21"/>
      <c r="D82" s="22"/>
      <c r="E82" s="22"/>
      <c r="F82" s="22"/>
      <c r="G82" s="22"/>
      <c r="H82" s="22"/>
      <c r="I82" s="22"/>
      <c r="J82" s="21"/>
      <c r="K82" s="21"/>
      <c r="L82" s="22"/>
      <c r="M82" s="21"/>
    </row>
    <row r="83">
      <c r="A83" s="21"/>
      <c r="B83" s="22"/>
      <c r="C83" s="21"/>
      <c r="D83" s="22"/>
      <c r="E83" s="22"/>
      <c r="F83" s="22"/>
      <c r="G83" s="22"/>
      <c r="H83" s="22"/>
      <c r="I83" s="22"/>
      <c r="J83" s="21"/>
      <c r="K83" s="21"/>
      <c r="L83" s="22"/>
      <c r="M83" s="21"/>
    </row>
    <row r="84">
      <c r="A84" s="21"/>
      <c r="B84" s="22"/>
      <c r="C84" s="21"/>
      <c r="D84" s="22"/>
      <c r="E84" s="22"/>
      <c r="F84" s="22"/>
      <c r="G84" s="22"/>
      <c r="H84" s="22"/>
      <c r="I84" s="22"/>
      <c r="J84" s="21"/>
      <c r="K84" s="21"/>
      <c r="L84" s="22"/>
      <c r="M84" s="21"/>
    </row>
    <row r="85">
      <c r="A85" s="21"/>
      <c r="B85" s="22"/>
      <c r="C85" s="21"/>
      <c r="D85" s="22"/>
      <c r="E85" s="22"/>
      <c r="F85" s="22"/>
      <c r="G85" s="22"/>
      <c r="H85" s="22"/>
      <c r="I85" s="22"/>
      <c r="J85" s="21"/>
      <c r="K85" s="21"/>
      <c r="L85" s="22"/>
      <c r="M85" s="21"/>
    </row>
    <row r="86">
      <c r="A86" s="21"/>
      <c r="B86" s="22"/>
      <c r="C86" s="21"/>
      <c r="D86" s="22"/>
      <c r="E86" s="22"/>
      <c r="F86" s="22"/>
      <c r="G86" s="22"/>
      <c r="H86" s="22"/>
      <c r="I86" s="22"/>
      <c r="J86" s="21"/>
      <c r="K86" s="21"/>
      <c r="L86" s="22"/>
      <c r="M86" s="21"/>
    </row>
    <row r="87">
      <c r="A87" s="21"/>
      <c r="B87" s="22"/>
      <c r="C87" s="21"/>
      <c r="D87" s="22"/>
      <c r="E87" s="22"/>
      <c r="F87" s="22"/>
      <c r="G87" s="22"/>
      <c r="H87" s="22"/>
      <c r="I87" s="22"/>
      <c r="J87" s="21"/>
      <c r="K87" s="21"/>
      <c r="L87" s="22"/>
      <c r="M87" s="21"/>
    </row>
    <row r="88">
      <c r="A88" s="21"/>
      <c r="B88" s="22"/>
      <c r="C88" s="21"/>
      <c r="D88" s="22"/>
      <c r="E88" s="22"/>
      <c r="F88" s="22"/>
      <c r="G88" s="22"/>
      <c r="H88" s="22"/>
      <c r="I88" s="22"/>
      <c r="J88" s="21"/>
      <c r="K88" s="21"/>
      <c r="L88" s="22"/>
      <c r="M88" s="21"/>
    </row>
    <row r="89">
      <c r="A89" s="21"/>
      <c r="B89" s="22"/>
      <c r="C89" s="21"/>
      <c r="D89" s="22"/>
      <c r="E89" s="22"/>
      <c r="F89" s="22"/>
      <c r="G89" s="22"/>
      <c r="H89" s="22"/>
      <c r="I89" s="22"/>
      <c r="J89" s="21"/>
      <c r="K89" s="21"/>
      <c r="L89" s="22"/>
      <c r="M89" s="21"/>
    </row>
    <row r="90">
      <c r="A90" s="21"/>
      <c r="B90" s="22"/>
      <c r="C90" s="21"/>
      <c r="D90" s="22"/>
      <c r="E90" s="22"/>
      <c r="F90" s="22"/>
      <c r="G90" s="22"/>
      <c r="H90" s="22"/>
      <c r="I90" s="22"/>
      <c r="J90" s="21"/>
      <c r="K90" s="21"/>
      <c r="L90" s="22"/>
      <c r="M90" s="21"/>
    </row>
    <row r="91">
      <c r="A91" s="21"/>
      <c r="B91" s="22"/>
      <c r="C91" s="21"/>
      <c r="D91" s="22"/>
      <c r="E91" s="22"/>
      <c r="F91" s="22"/>
      <c r="G91" s="22"/>
      <c r="H91" s="22"/>
      <c r="I91" s="22"/>
      <c r="J91" s="21"/>
      <c r="K91" s="21"/>
      <c r="L91" s="22"/>
      <c r="M91" s="21"/>
    </row>
    <row r="92">
      <c r="A92" s="21"/>
      <c r="B92" s="22"/>
      <c r="C92" s="21"/>
      <c r="D92" s="22"/>
      <c r="E92" s="22"/>
      <c r="F92" s="22"/>
      <c r="G92" s="22"/>
      <c r="H92" s="22"/>
      <c r="I92" s="22"/>
      <c r="J92" s="21"/>
      <c r="K92" s="21"/>
      <c r="L92" s="22"/>
      <c r="M92" s="21"/>
    </row>
    <row r="93">
      <c r="A93" s="21"/>
      <c r="B93" s="22"/>
      <c r="C93" s="21"/>
      <c r="D93" s="22"/>
      <c r="E93" s="22"/>
      <c r="F93" s="22"/>
      <c r="G93" s="22"/>
      <c r="H93" s="22"/>
      <c r="I93" s="22"/>
      <c r="J93" s="21"/>
      <c r="K93" s="21"/>
      <c r="L93" s="22"/>
      <c r="M93" s="21"/>
    </row>
    <row r="94">
      <c r="A94" s="21"/>
      <c r="B94" s="22"/>
      <c r="C94" s="21"/>
      <c r="D94" s="22"/>
      <c r="E94" s="22"/>
      <c r="F94" s="22"/>
      <c r="G94" s="22"/>
      <c r="H94" s="22"/>
      <c r="I94" s="22"/>
      <c r="J94" s="21"/>
      <c r="K94" s="21"/>
      <c r="L94" s="22"/>
      <c r="M94" s="21"/>
    </row>
    <row r="95">
      <c r="A95" s="21"/>
      <c r="B95" s="22"/>
      <c r="C95" s="21"/>
      <c r="D95" s="22"/>
      <c r="E95" s="22"/>
      <c r="F95" s="22"/>
      <c r="G95" s="22"/>
      <c r="H95" s="22"/>
      <c r="I95" s="22"/>
      <c r="J95" s="21"/>
      <c r="K95" s="21"/>
      <c r="L95" s="22"/>
      <c r="M95" s="21"/>
    </row>
    <row r="96">
      <c r="A96" s="21"/>
      <c r="B96" s="22"/>
      <c r="C96" s="21"/>
      <c r="D96" s="22"/>
      <c r="E96" s="22"/>
      <c r="F96" s="22"/>
      <c r="G96" s="22"/>
      <c r="H96" s="22"/>
      <c r="I96" s="22"/>
      <c r="J96" s="21"/>
      <c r="K96" s="21"/>
      <c r="L96" s="22"/>
      <c r="M96" s="21"/>
    </row>
    <row r="97">
      <c r="A97" s="21"/>
      <c r="B97" s="22"/>
      <c r="C97" s="21"/>
      <c r="D97" s="22"/>
      <c r="E97" s="22"/>
      <c r="F97" s="22"/>
      <c r="G97" s="22"/>
      <c r="H97" s="22"/>
      <c r="I97" s="22"/>
      <c r="J97" s="21"/>
      <c r="K97" s="21"/>
      <c r="L97" s="22"/>
      <c r="M97" s="21"/>
    </row>
    <row r="98">
      <c r="A98" s="21"/>
      <c r="B98" s="22"/>
      <c r="C98" s="21"/>
      <c r="D98" s="22"/>
      <c r="E98" s="22"/>
      <c r="F98" s="22"/>
      <c r="G98" s="22"/>
      <c r="H98" s="22"/>
      <c r="I98" s="22"/>
      <c r="J98" s="21"/>
      <c r="K98" s="21"/>
      <c r="L98" s="22"/>
      <c r="M98" s="21"/>
    </row>
    <row r="99">
      <c r="A99" s="21"/>
      <c r="B99" s="22"/>
      <c r="C99" s="21"/>
      <c r="D99" s="22"/>
      <c r="E99" s="22"/>
      <c r="F99" s="22"/>
      <c r="G99" s="22"/>
      <c r="H99" s="22"/>
      <c r="I99" s="22"/>
      <c r="J99" s="21"/>
      <c r="K99" s="21"/>
      <c r="L99" s="22"/>
      <c r="M99" s="21"/>
    </row>
    <row r="100">
      <c r="A100" s="21"/>
      <c r="B100" s="22"/>
      <c r="C100" s="21"/>
      <c r="D100" s="22"/>
      <c r="E100" s="22"/>
      <c r="F100" s="22"/>
      <c r="G100" s="22"/>
      <c r="H100" s="22"/>
      <c r="I100" s="22"/>
      <c r="J100" s="21"/>
      <c r="K100" s="21"/>
      <c r="L100" s="22"/>
      <c r="M100" s="21"/>
    </row>
  </sheetData>
  <mergeCells count="1">
    <mergeCell ref="A1:G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3" max="3" width="15.13"/>
  </cols>
  <sheetData>
    <row r="1">
      <c r="A1" s="1" t="s">
        <v>34</v>
      </c>
    </row>
    <row r="2">
      <c r="A2" s="33"/>
      <c r="B2" s="33"/>
      <c r="C2" s="33"/>
      <c r="D2" s="33"/>
      <c r="E2" s="33"/>
      <c r="F2" s="33"/>
      <c r="G2" s="33"/>
    </row>
    <row r="3">
      <c r="A3" s="34" t="s">
        <v>36</v>
      </c>
      <c r="B3" s="35" t="s">
        <v>37</v>
      </c>
      <c r="C3" s="33"/>
      <c r="D3" s="33"/>
      <c r="E3" s="33"/>
      <c r="F3" s="33"/>
      <c r="G3" s="33"/>
    </row>
    <row r="4">
      <c r="A4" s="34" t="s">
        <v>38</v>
      </c>
      <c r="B4" s="35" t="s">
        <v>39</v>
      </c>
      <c r="C4" s="33"/>
      <c r="D4" s="33"/>
      <c r="E4" s="33"/>
      <c r="F4" s="33"/>
      <c r="G4" s="33"/>
    </row>
    <row r="5">
      <c r="A5" s="34" t="s">
        <v>40</v>
      </c>
      <c r="B5" s="35" t="s">
        <v>41</v>
      </c>
      <c r="C5" s="33"/>
      <c r="D5" s="33"/>
      <c r="E5" s="33"/>
      <c r="F5" s="33"/>
      <c r="G5" s="33"/>
    </row>
    <row r="6">
      <c r="A6" s="34" t="s">
        <v>42</v>
      </c>
      <c r="B6" s="35" t="s">
        <v>23</v>
      </c>
      <c r="C6" s="33"/>
      <c r="D6" s="33"/>
      <c r="E6" s="33"/>
      <c r="F6" s="33"/>
      <c r="G6" s="33"/>
    </row>
    <row r="7">
      <c r="A7" s="34" t="s">
        <v>43</v>
      </c>
      <c r="B7" s="36">
        <v>46289.0</v>
      </c>
      <c r="C7" s="33"/>
      <c r="D7" s="33"/>
      <c r="E7" s="33"/>
      <c r="F7" s="33"/>
      <c r="G7" s="33"/>
    </row>
    <row r="9">
      <c r="A9" s="37" t="s">
        <v>44</v>
      </c>
    </row>
    <row r="10">
      <c r="A10" s="38"/>
      <c r="B10" s="38"/>
      <c r="C10" s="38"/>
    </row>
    <row r="11" ht="22.5" customHeight="1">
      <c r="A11" s="39" t="s">
        <v>10</v>
      </c>
      <c r="B11" s="39" t="s">
        <v>46</v>
      </c>
      <c r="C11" s="39" t="s">
        <v>48</v>
      </c>
    </row>
    <row r="12" ht="22.5" customHeight="1">
      <c r="A12" s="40" t="s">
        <v>21</v>
      </c>
      <c r="B12" s="41">
        <f>COUNTIF('Danh sách Test Case'!$J:$J, A12)</f>
        <v>158</v>
      </c>
      <c r="C12" s="42">
        <f t="shared" ref="C12:C15" si="1">B12/$B$16</f>
        <v>0.5080385852</v>
      </c>
    </row>
    <row r="13" ht="22.5" customHeight="1">
      <c r="A13" s="43" t="s">
        <v>57</v>
      </c>
      <c r="B13" s="44">
        <f>COUNTIF('Danh sách Test Case'!$J:$J, A13)</f>
        <v>1</v>
      </c>
      <c r="C13" s="45">
        <f t="shared" si="1"/>
        <v>0.003215434084</v>
      </c>
    </row>
    <row r="14" ht="22.5" customHeight="1">
      <c r="A14" s="46" t="s">
        <v>52</v>
      </c>
      <c r="B14" s="47">
        <f>COUNTIF('Danh sách Test Case'!$J:$J, A14)</f>
        <v>151</v>
      </c>
      <c r="C14" s="48">
        <f t="shared" si="1"/>
        <v>0.4855305466</v>
      </c>
    </row>
    <row r="15" ht="22.5" customHeight="1">
      <c r="A15" s="49" t="s">
        <v>62</v>
      </c>
      <c r="B15" s="50">
        <f>COUNTIF('Danh sách Test Case'!$J:$J, A15)</f>
        <v>1</v>
      </c>
      <c r="C15" s="51">
        <f t="shared" si="1"/>
        <v>0.003215434084</v>
      </c>
    </row>
    <row r="16" ht="22.5" customHeight="1">
      <c r="A16" s="52" t="s">
        <v>68</v>
      </c>
      <c r="B16" s="53">
        <f t="shared" ref="B16:C16" si="2">SUM(B12:B15)</f>
        <v>311</v>
      </c>
      <c r="C16" s="54">
        <f t="shared" si="2"/>
        <v>1</v>
      </c>
    </row>
    <row r="18">
      <c r="A18" s="34" t="s">
        <v>69</v>
      </c>
      <c r="C18" s="55">
        <f>B12/(B16 - B15 -B14)</f>
        <v>0.9937106918</v>
      </c>
    </row>
    <row r="21">
      <c r="A21" s="37" t="s">
        <v>71</v>
      </c>
    </row>
    <row r="22">
      <c r="A22" s="38"/>
      <c r="B22" s="38"/>
      <c r="C22" s="38"/>
    </row>
    <row r="23" ht="22.5" customHeight="1">
      <c r="A23" s="39" t="s">
        <v>11</v>
      </c>
      <c r="B23" s="39" t="s">
        <v>46</v>
      </c>
      <c r="C23" s="39" t="s">
        <v>48</v>
      </c>
    </row>
    <row r="24" ht="22.5" customHeight="1">
      <c r="A24" s="56" t="s">
        <v>22</v>
      </c>
      <c r="B24" s="57">
        <f>COUNTIF('Danh sách Test Case'!$K:$K,A24)</f>
        <v>210</v>
      </c>
      <c r="C24" s="58">
        <f t="shared" ref="C24:C26" si="3">B24/$B$16</f>
        <v>0.6752411576</v>
      </c>
    </row>
    <row r="25" ht="22.5" customHeight="1">
      <c r="A25" s="56" t="s">
        <v>35</v>
      </c>
      <c r="B25" s="57">
        <f>COUNTIF('Danh sách Test Case'!$K:$K,A25)</f>
        <v>89</v>
      </c>
      <c r="C25" s="58">
        <f t="shared" si="3"/>
        <v>0.2861736334</v>
      </c>
    </row>
    <row r="26" ht="22.5" customHeight="1">
      <c r="A26" s="56" t="s">
        <v>78</v>
      </c>
      <c r="B26" s="57">
        <f>COUNTIF('Danh sách Test Case'!$K:$K,A26)</f>
        <v>12</v>
      </c>
      <c r="C26" s="58">
        <f t="shared" si="3"/>
        <v>0.038585209</v>
      </c>
    </row>
    <row r="29">
      <c r="A29" s="37" t="s">
        <v>79</v>
      </c>
    </row>
    <row r="30">
      <c r="A30" s="38"/>
      <c r="B30" s="38"/>
      <c r="C30" s="38"/>
      <c r="D30" s="38"/>
      <c r="E30" s="38"/>
      <c r="F30" s="38"/>
    </row>
    <row r="31" ht="22.5" customHeight="1">
      <c r="A31" s="39" t="s">
        <v>2</v>
      </c>
      <c r="B31" s="39" t="s">
        <v>21</v>
      </c>
      <c r="C31" s="39" t="s">
        <v>57</v>
      </c>
      <c r="D31" s="39" t="s">
        <v>52</v>
      </c>
      <c r="E31" s="39" t="s">
        <v>62</v>
      </c>
      <c r="F31" s="39" t="s">
        <v>80</v>
      </c>
    </row>
    <row r="32" ht="22.5" customHeight="1">
      <c r="A32" s="56" t="s">
        <v>15</v>
      </c>
      <c r="B32" s="57">
        <f>COUNTIFS('Danh sách Test Case'!$B:$B, $A32, 'Danh sách Test Case'!$J:$J, B$31)</f>
        <v>22</v>
      </c>
      <c r="C32" s="57">
        <f>COUNTIFS('Danh sách Test Case'!$B:$B, $A32, 'Danh sách Test Case'!$J:$J, C$31)</f>
        <v>1</v>
      </c>
      <c r="D32" s="57">
        <f>COUNTIFS('Danh sách Test Case'!$B:$B, $A32, 'Danh sách Test Case'!$J:$J, D$31)</f>
        <v>6</v>
      </c>
      <c r="E32" s="57">
        <f>COUNTIFS('Danh sách Test Case'!$B:$B, $A32, 'Danh sách Test Case'!$J:$J, E$31)</f>
        <v>0</v>
      </c>
      <c r="F32" s="57">
        <f t="shared" ref="F32:F41" si="4">SUM($B32:$E32)</f>
        <v>29</v>
      </c>
    </row>
    <row r="33" ht="22.5" customHeight="1">
      <c r="A33" s="56" t="s">
        <v>85</v>
      </c>
      <c r="B33" s="57">
        <f>COUNTIFS('Danh sách Test Case'!$B:$B, $A33, 'Danh sách Test Case'!$J:$J, B$31)</f>
        <v>0</v>
      </c>
      <c r="C33" s="57">
        <f>COUNTIFS('Danh sách Test Case'!$B:$B, $A33, 'Danh sách Test Case'!$J:$J, C$31)</f>
        <v>0</v>
      </c>
      <c r="D33" s="57">
        <f>COUNTIFS('Danh sách Test Case'!$B:$B, $A33, 'Danh sách Test Case'!$J:$J, D$31)</f>
        <v>6</v>
      </c>
      <c r="E33" s="57">
        <f>COUNTIFS('Danh sách Test Case'!$B:$B, $A33, 'Danh sách Test Case'!$J:$J, E$31)</f>
        <v>0</v>
      </c>
      <c r="F33" s="57">
        <f t="shared" si="4"/>
        <v>6</v>
      </c>
    </row>
    <row r="34" ht="22.5" customHeight="1">
      <c r="A34" s="56" t="s">
        <v>90</v>
      </c>
      <c r="B34" s="57">
        <f>COUNTIFS('Danh sách Test Case'!$B:$B, $A34, 'Danh sách Test Case'!$J:$J, B$31)</f>
        <v>22</v>
      </c>
      <c r="C34" s="57">
        <f>COUNTIFS('Danh sách Test Case'!$B:$B, $A34, 'Danh sách Test Case'!$J:$J, C$31)</f>
        <v>0</v>
      </c>
      <c r="D34" s="57">
        <f>COUNTIFS('Danh sách Test Case'!$B:$B, $A34, 'Danh sách Test Case'!$J:$J, D$31)</f>
        <v>15</v>
      </c>
      <c r="E34" s="57">
        <f>COUNTIFS('Danh sách Test Case'!$B:$B, $A34, 'Danh sách Test Case'!$J:$J, E$31)</f>
        <v>0</v>
      </c>
      <c r="F34" s="57">
        <f t="shared" si="4"/>
        <v>37</v>
      </c>
    </row>
    <row r="35" ht="22.5" customHeight="1">
      <c r="A35" s="56" t="s">
        <v>95</v>
      </c>
      <c r="B35" s="57">
        <f>COUNTIFS('Danh sách Test Case'!$B:$B, $A35, 'Danh sách Test Case'!$J:$J, B$31)</f>
        <v>31</v>
      </c>
      <c r="C35" s="57">
        <f>COUNTIFS('Danh sách Test Case'!$B:$B, $A35, 'Danh sách Test Case'!$J:$J, C$31)</f>
        <v>0</v>
      </c>
      <c r="D35" s="57">
        <f>COUNTIFS('Danh sách Test Case'!$B:$B, $A35, 'Danh sách Test Case'!$J:$J, D$31)</f>
        <v>11</v>
      </c>
      <c r="E35" s="57">
        <f>COUNTIFS('Danh sách Test Case'!$B:$B, $A35, 'Danh sách Test Case'!$J:$J, E$31)</f>
        <v>0</v>
      </c>
      <c r="F35" s="57">
        <f t="shared" si="4"/>
        <v>42</v>
      </c>
    </row>
    <row r="36" ht="22.5" customHeight="1">
      <c r="A36" s="56" t="s">
        <v>101</v>
      </c>
      <c r="B36" s="57">
        <f>COUNTIFS('Danh sách Test Case'!$B:$B, $A36, 'Danh sách Test Case'!$J:$J, B$31)</f>
        <v>0</v>
      </c>
      <c r="C36" s="57">
        <f>COUNTIFS('Danh sách Test Case'!$B:$B, $A36, 'Danh sách Test Case'!$J:$J, C$31)</f>
        <v>0</v>
      </c>
      <c r="D36" s="57">
        <f>COUNTIFS('Danh sách Test Case'!$B:$B, $A36, 'Danh sách Test Case'!$J:$J, D$31)</f>
        <v>23</v>
      </c>
      <c r="E36" s="57">
        <f>COUNTIFS('Danh sách Test Case'!$B:$B, $A36, 'Danh sách Test Case'!$J:$J, E$31)</f>
        <v>0</v>
      </c>
      <c r="F36" s="57">
        <f t="shared" si="4"/>
        <v>23</v>
      </c>
    </row>
    <row r="37" ht="22.5" customHeight="1">
      <c r="A37" s="56" t="s">
        <v>105</v>
      </c>
      <c r="B37" s="57">
        <f>COUNTIFS('Danh sách Test Case'!$B:$B, $A37, 'Danh sách Test Case'!$J:$J, B$31)</f>
        <v>20</v>
      </c>
      <c r="C37" s="57">
        <f>COUNTIFS('Danh sách Test Case'!$B:$B, $A37, 'Danh sách Test Case'!$J:$J, C$31)</f>
        <v>0</v>
      </c>
      <c r="D37" s="57">
        <f>COUNTIFS('Danh sách Test Case'!$B:$B, $A37, 'Danh sách Test Case'!$J:$J, D$31)</f>
        <v>16</v>
      </c>
      <c r="E37" s="57">
        <f>COUNTIFS('Danh sách Test Case'!$B:$B, $A37, 'Danh sách Test Case'!$J:$J, E$31)</f>
        <v>1</v>
      </c>
      <c r="F37" s="57">
        <f t="shared" si="4"/>
        <v>37</v>
      </c>
    </row>
    <row r="38" ht="22.5" customHeight="1">
      <c r="A38" s="56" t="s">
        <v>111</v>
      </c>
      <c r="B38" s="57">
        <f>COUNTIFS('Danh sách Test Case'!$B:$B, $A38, 'Danh sách Test Case'!$J:$J, B$31)</f>
        <v>0</v>
      </c>
      <c r="C38" s="57">
        <f>COUNTIFS('Danh sách Test Case'!$B:$B, $A38, 'Danh sách Test Case'!$J:$J, C$31)</f>
        <v>0</v>
      </c>
      <c r="D38" s="57">
        <f>COUNTIFS('Danh sách Test Case'!$B:$B, $A38, 'Danh sách Test Case'!$J:$J, D$31)</f>
        <v>17</v>
      </c>
      <c r="E38" s="57">
        <f>COUNTIFS('Danh sách Test Case'!$B:$B, $A38, 'Danh sách Test Case'!$J:$J, E$31)</f>
        <v>0</v>
      </c>
      <c r="F38" s="57">
        <f t="shared" si="4"/>
        <v>17</v>
      </c>
    </row>
    <row r="39" ht="22.5" customHeight="1">
      <c r="A39" s="56" t="s">
        <v>113</v>
      </c>
      <c r="B39" s="57">
        <f>COUNTIFS('Danh sách Test Case'!$B:$B, $A39, 'Danh sách Test Case'!$J:$J, B$31)</f>
        <v>0</v>
      </c>
      <c r="C39" s="57">
        <f>COUNTIFS('Danh sách Test Case'!$B:$B, $A39, 'Danh sách Test Case'!$J:$J, C$31)</f>
        <v>0</v>
      </c>
      <c r="D39" s="57">
        <f>COUNTIFS('Danh sách Test Case'!$B:$B, $A39, 'Danh sách Test Case'!$J:$J, D$31)</f>
        <v>16</v>
      </c>
      <c r="E39" s="57">
        <f>COUNTIFS('Danh sách Test Case'!$B:$B, $A39, 'Danh sách Test Case'!$J:$J, E$31)</f>
        <v>0</v>
      </c>
      <c r="F39" s="57">
        <f t="shared" si="4"/>
        <v>16</v>
      </c>
    </row>
    <row r="40" ht="22.5" customHeight="1">
      <c r="A40" s="56" t="s">
        <v>119</v>
      </c>
      <c r="B40" s="57">
        <f>COUNTIFS('Danh sách Test Case'!$B:$B, $A40, 'Danh sách Test Case'!$J:$J, B$31)</f>
        <v>0</v>
      </c>
      <c r="C40" s="57">
        <f>COUNTIFS('Danh sách Test Case'!$B:$B, $A40, 'Danh sách Test Case'!$J:$J, C$31)</f>
        <v>0</v>
      </c>
      <c r="D40" s="57">
        <f>COUNTIFS('Danh sách Test Case'!$B:$B, $A40, 'Danh sách Test Case'!$J:$J, D$31)</f>
        <v>22</v>
      </c>
      <c r="E40" s="57">
        <f>COUNTIFS('Danh sách Test Case'!$B:$B, $A40, 'Danh sách Test Case'!$J:$J, E$31)</f>
        <v>0</v>
      </c>
      <c r="F40" s="57">
        <f t="shared" si="4"/>
        <v>22</v>
      </c>
    </row>
    <row r="41" ht="22.5" customHeight="1">
      <c r="A41" s="56" t="s">
        <v>126</v>
      </c>
      <c r="B41" s="57">
        <f>COUNTIFS('Danh sách Test Case'!$B:$B, $A41, 'Danh sách Test Case'!$J:$J, B$31)</f>
        <v>63</v>
      </c>
      <c r="C41" s="57">
        <f>COUNTIFS('Danh sách Test Case'!$B:$B, $A41, 'Danh sách Test Case'!$J:$J, C$31)</f>
        <v>0</v>
      </c>
      <c r="D41" s="57">
        <f>COUNTIFS('Danh sách Test Case'!$B:$B, $A41, 'Danh sách Test Case'!$J:$J, D$31)</f>
        <v>19</v>
      </c>
      <c r="E41" s="57">
        <f>COUNTIFS('Danh sách Test Case'!$B:$B, $A41, 'Danh sách Test Case'!$J:$J, E$31)</f>
        <v>0</v>
      </c>
      <c r="F41" s="57">
        <f t="shared" si="4"/>
        <v>82</v>
      </c>
    </row>
    <row r="42" ht="22.5" customHeight="1">
      <c r="A42" s="52" t="s">
        <v>68</v>
      </c>
      <c r="B42" s="53">
        <f>SUM(Bảng_Thống_kê_theo_Module[Pass])</f>
        <v>158</v>
      </c>
      <c r="C42" s="53">
        <f>SUM(Bảng_Thống_kê_theo_Module[Fail])</f>
        <v>1</v>
      </c>
      <c r="D42" s="53">
        <f>SUM(Bảng_Thống_kê_theo_Module[Block])</f>
        <v>151</v>
      </c>
      <c r="E42" s="53">
        <f>SUM(Bảng_Thống_kê_theo_Module[Chưa test])</f>
        <v>1</v>
      </c>
      <c r="F42" s="53">
        <f>SUM(Bảng_Thống_kê_theo_Module[[#TOTALS],[Pass]:[Chưa test]])</f>
        <v>311</v>
      </c>
    </row>
  </sheetData>
  <mergeCells count="1">
    <mergeCell ref="A1:G1"/>
  </mergeCells>
  <dataValidations>
    <dataValidation type="custom" allowBlank="1" showDropDown="1" sqref="C12:C16 C24:C26">
      <formula1>AND(ISNUMBER(C12),(NOT(OR(NOT(ISERROR(DATEVALUE(C12))), AND(ISNUMBER(C12), LEFT(CELL("format", C12))="D")))))</formula1>
    </dataValidation>
  </dataValidations>
  <drawing r:id="rId1"/>
  <tableParts count="3">
    <tablePart r:id="rId5"/>
    <tablePart r:id="rId6"/>
    <tablePart r:id="rId7"/>
  </tableParts>
</worksheet>
</file>